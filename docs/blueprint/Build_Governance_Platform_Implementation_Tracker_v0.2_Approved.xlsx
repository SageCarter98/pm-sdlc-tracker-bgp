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Overview" sheetId="1" state="visible" r:id="rId1"/>
    <sheet name="Requirements" sheetId="2" state="visible" r:id="rId2"/>
    <sheet name="Acceptance" sheetId="3" state="visible" r:id="rId3"/>
    <sheet name="Work packages" sheetId="4" state="visible" r:id="rId4"/>
    <sheet name="Remediation" sheetId="5" state="visible" r:id="rId5"/>
    <sheet name="Decisions" sheetId="6" state="visible" r:id="rId6"/>
  </sheets>
  <definedNames/>
</workbook>
</file>

<file path=xl/styles.xml><?xml version="1.0" encoding="utf-8"?>
<styleSheet xmlns="http://schemas.openxmlformats.org/spreadsheetml/2006/main">
  <numFmts count="1">
    <numFmt numFmtId="164" formatCode="dd mmm yyyy"/>
  </numFmts>
  <fonts count="4">
    <font>
      <name val="Carlito"/>
      <sz val="11"/>
    </font>
    <font>
      <name val="Arial"/>
      <b val="1"/>
      <sz val="14"/>
    </font>
    <font>
      <name val="Arial"/>
      <sz val="10"/>
    </font>
    <font>
      <name val="Arial"/>
      <b val="1"/>
      <color rgb="FFFFFFFF"/>
      <sz val="10"/>
    </font>
  </fonts>
  <fills count="4">
    <fill>
      <patternFill/>
    </fill>
    <fill>
      <patternFill patternType="gray125"/>
    </fill>
    <fill>
      <patternFill patternType="solid">
        <fgColor rgb="FF203B56"/>
      </patternFill>
    </fill>
    <fill>
      <patternFill patternType="solid">
        <fgColor rgb="FFFFF2CC"/>
      </patternFill>
    </fill>
  </fills>
  <borders count="1">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wrapText="1"/>
    </xf>
    <xf numFmtId="0" fontId="2" fillId="0" borderId="0" applyAlignment="1" pivotButton="0" quotePrefix="0" xfId="0">
      <alignment vertical="center" wrapText="1"/>
    </xf>
    <xf numFmtId="0" fontId="2" fillId="2" borderId="0" applyAlignment="1" pivotButton="0" quotePrefix="0" xfId="0">
      <alignment vertical="center" wrapText="1"/>
    </xf>
    <xf numFmtId="0" fontId="3" fillId="2" borderId="0" applyAlignment="1" pivotButton="0" quotePrefix="0" xfId="0">
      <alignment vertical="center" wrapText="1"/>
    </xf>
    <xf numFmtId="0" fontId="2" fillId="3" borderId="0" applyAlignment="1" pivotButton="0" quotePrefix="0" xfId="0">
      <alignment vertical="center" wrapText="1"/>
    </xf>
    <xf numFmtId="164" fontId="2" fillId="3" borderId="0" applyAlignment="1" pivotButton="0" quotePrefix="0" xfId="0">
      <alignment vertical="center" wrapText="1"/>
    </xf>
    <xf numFmtId="0" fontId="2" fillId="2" borderId="0" pivotButton="0" quotePrefix="0" xfId="0"/>
    <xf numFmtId="0" fontId="3" fillId="2" borderId="0" pivotButton="0" quotePrefix="0" xfId="0"/>
    <xf numFmtId="0" fontId="3" fillId="2" borderId="0" applyAlignment="1" pivotButton="0" quotePrefix="0" xfId="0">
      <alignment wrapText="1"/>
    </xf>
    <xf numFmtId="164" fontId="2" fillId="3" borderId="0" applyAlignment="1" pivotButton="0" quotePrefix="0" xfId="0">
      <alignment vertical="center" wrapText="1"/>
    </xf>
  </cellXfs>
  <cellStyles count="1">
    <cellStyle name="Normal" xfId="0"/>
  </cellStyles>
  <dxfs count="3">
    <dxf>
      <font>
        <color rgb="FF9C0006"/>
      </font>
      <fill>
        <patternFill>
          <bgColor rgb="FFFCE4D6"/>
        </patternFill>
      </fill>
    </dxf>
    <dxf>
      <font>
        <color rgb="FF9C0006"/>
      </font>
      <fill>
        <patternFill>
          <bgColor rgb="FFFCE4D6"/>
        </patternFill>
      </fill>
    </dxf>
    <dxf>
      <font>
        <color rgb="FF9C0006"/>
      </font>
      <fill>
        <patternFill>
          <bgColor rgb="FFFCE4D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ables/table1.xml><?xml version="1.0" encoding="utf-8"?>
<table xmlns="http://schemas.openxmlformats.org/spreadsheetml/2006/main" id="1" name="RequirementsTable" displayName="RequirementsTable" ref="A5:O63" headerRowCount="1" totalsRowCount="0" totalsRowShown="0">
  <tableColumns count="15">
    <tableColumn id="1" name="ID"/>
    <tableColumn id="2" name="Area"/>
    <tableColumn id="3" name="Requirement"/>
    <tableColumn id="4" name="Directive source"/>
    <tableColumn id="5" name="Package"/>
    <tableColumn id="6" name="Acceptance"/>
    <tableColumn id="7" name="Test ID"/>
    <tableColumn id="8" name="Expected result"/>
    <tableColumn id="9" name="Test result"/>
    <tableColumn id="10" name="Evidence reference"/>
    <tableColumn id="11" name="Reviewer"/>
    <tableColumn id="12" name="Verification"/>
    <tableColumn id="13" name="Assigned owner"/>
    <tableColumn id="14" name="Due date"/>
    <tableColumn id="15" name="Notes"/>
  </tableColumns>
  <tableStyleInfo name="TableStyleMedium2" showFirstColumn="0" showLastColumn="0" showRowStripes="1" showColumnStripes="0"/>
</table>
</file>

<file path=xl/tables/table2.xml><?xml version="1.0" encoding="utf-8"?>
<table xmlns="http://schemas.openxmlformats.org/spreadsheetml/2006/main" id="2" name="AcceptanceTable" displayName="AcceptanceTable" ref="A5:H28" headerRowCount="1" totalsRowCount="0" totalsRowShown="0">
  <tableColumns count="8">
    <tableColumn id="1" name="ID"/>
    <tableColumn id="2" name="Directive acceptance criterion"/>
    <tableColumn id="3" name="Requirements"/>
    <tableColumn id="4" name="Result"/>
    <tableColumn id="5" name="Evidence reference"/>
    <tableColumn id="6" name="Reviewer"/>
    <tableColumn id="7" name="Verification"/>
    <tableColumn id="8" name="Notes"/>
  </tableColumns>
  <tableStyleInfo name="TableStyleMedium2" showFirstColumn="0" showLastColumn="0" showRowStripes="1" showColumnStripes="0"/>
</table>
</file>

<file path=xl/tables/table3.xml><?xml version="1.0" encoding="utf-8"?>
<table xmlns="http://schemas.openxmlformats.org/spreadsheetml/2006/main" id="3" name="WorkpackagesTable" displayName="WorkpackagesTable" ref="A5:L19" headerRowCount="1" totalsRowCount="0" totalsRowShown="0">
  <tableColumns count="12">
    <tableColumn id="1" name="ID"/>
    <tableColumn id="2" name="Work package"/>
    <tableColumn id="3" name="Dependencies"/>
    <tableColumn id="4" name="Responsible role"/>
    <tableColumn id="5" name="Review point"/>
    <tableColumn id="6" name="Deliverable"/>
    <tableColumn id="7" name="Status"/>
    <tableColumn id="8" name="Assigned person"/>
    <tableColumn id="9" name="Due date"/>
    <tableColumn id="10" name="Evidence"/>
    <tableColumn id="11" name="Reviewer"/>
    <tableColumn id="12" name="Closure"/>
  </tableColumns>
  <tableStyleInfo name="TableStyleMedium2" showFirstColumn="0" showLastColumn="0" showRowStripes="1" showColumnStripes="0"/>
</table>
</file>

<file path=xl/tables/table4.xml><?xml version="1.0" encoding="utf-8"?>
<table xmlns="http://schemas.openxmlformats.org/spreadsheetml/2006/main" id="4" name="RemediationTable" displayName="RemediationTable" ref="A5:I12" headerRowCount="1" totalsRowCount="0" totalsRowShown="0">
  <tableColumns count="9">
    <tableColumn id="1" name="ID"/>
    <tableColumn id="2" name="Finding"/>
    <tableColumn id="3" name="Requirements"/>
    <tableColumn id="4" name="Packages"/>
    <tableColumn id="5" name="Result"/>
    <tableColumn id="6" name="Evidence reference"/>
    <tableColumn id="7" name="Reviewer"/>
    <tableColumn id="8" name="Verification"/>
    <tableColumn id="9" name="Assigned owner"/>
  </tableColumns>
  <tableStyleInfo name="TableStyleMedium2" showFirstColumn="0" showLastColumn="0" showRowStripes="1" showColumnStripes="0"/>
</table>
</file>

<file path=xl/tables/table5.xml><?xml version="1.0" encoding="utf-8"?>
<table xmlns="http://schemas.openxmlformats.org/spreadsheetml/2006/main" id="5" name="DecisionsTable" displayName="DecisionsTable" ref="A5:I17" headerRowCount="1" totalsRowCount="0" totalsRowShown="0">
  <tableColumns count="9">
    <tableColumn id="1" name="ID"/>
    <tableColumn id="2" name="Decision needed"/>
    <tableColumn id="3" name="Responsible role"/>
    <tableColumn id="4" name="Needed by"/>
    <tableColumn id="5" name="Current position"/>
    <tableColumn id="6" name="Status"/>
    <tableColumn id="7" name="Named owner"/>
    <tableColumn id="8" name="Decision record"/>
    <tableColumn id="9" name="Decision da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outlinePr summaryBelow="1" summaryRight="1"/>
    <pageSetUpPr/>
  </sheetPr>
  <dimension ref="A2:D19"/>
  <sheetViews>
    <sheetView showGridLines="0" workbookViewId="0">
      <selection activeCell="A1" sqref="A1"/>
    </sheetView>
  </sheetViews>
  <sheetFormatPr baseColWidth="8" defaultRowHeight="15"/>
  <cols>
    <col width="25" customWidth="1" min="1" max="1"/>
    <col width="65" customWidth="1" min="2" max="2"/>
    <col width="25" customWidth="1" min="3" max="3"/>
    <col width="18" customWidth="1" min="4" max="4"/>
  </cols>
  <sheetData>
    <row r="2">
      <c r="A2" s="1" t="inlineStr">
        <is>
          <t>Build Governance Platform implementation tracker</t>
        </is>
      </c>
    </row>
    <row r="4" ht="38" customHeight="1">
      <c r="A4" s="11" t="inlineStr">
        <is>
          <t>Record</t>
        </is>
      </c>
      <c r="B4" s="11" t="inlineStr">
        <is>
          <t>Total</t>
        </is>
      </c>
      <c r="C4" s="11" t="inlineStr">
        <is>
          <t>Verified or recorded complete</t>
        </is>
      </c>
      <c r="D4" s="11" t="inlineStr">
        <is>
          <t>Remaining</t>
        </is>
      </c>
    </row>
    <row r="5" ht="38" customHeight="1">
      <c r="A5" s="3" t="inlineStr">
        <is>
          <t>Requirements</t>
        </is>
      </c>
      <c r="B5" s="3">
        <f>COUNTA(Requirements!A6:A63)</f>
        <v/>
      </c>
      <c r="C5" s="3">
        <f>COUNTIF(Requirements!L6:L63,"Verified")</f>
        <v/>
      </c>
      <c r="D5" s="3">
        <f>B5-C5</f>
        <v/>
      </c>
    </row>
    <row r="6" ht="38" customHeight="1">
      <c r="A6" s="3" t="inlineStr">
        <is>
          <t>Acceptance cases</t>
        </is>
      </c>
      <c r="B6" s="3">
        <f>COUNTA(Acceptance!A6:A28)</f>
        <v/>
      </c>
      <c r="C6" s="3">
        <f>COUNTIF(Acceptance!G6:G28,"Verified")</f>
        <v/>
      </c>
      <c r="D6" s="3">
        <f>B6-C6</f>
        <v/>
      </c>
    </row>
    <row r="7" ht="38" customHeight="1">
      <c r="A7" s="3" t="inlineStr">
        <is>
          <t>Remediation findings</t>
        </is>
      </c>
      <c r="B7" s="3">
        <f>COUNTA(Remediation!A6:A12)</f>
        <v/>
      </c>
      <c r="C7" s="3">
        <f>COUNTIF(Remediation!H6:H12,"Verified")</f>
        <v/>
      </c>
      <c r="D7" s="3">
        <f>B7-C7</f>
        <v/>
      </c>
    </row>
    <row r="8" ht="38" customHeight="1">
      <c r="A8" s="3" t="inlineStr">
        <is>
          <t>Work packages</t>
        </is>
      </c>
      <c r="B8" s="3">
        <f>COUNTA('Work packages'!A6:A19)</f>
        <v/>
      </c>
      <c r="C8" s="3">
        <f>COUNTIF('Work packages'!L6:L19,"Recorded complete")</f>
        <v/>
      </c>
      <c r="D8" s="3">
        <f>B8-C8</f>
        <v/>
      </c>
    </row>
    <row r="9" ht="38" customHeight="1">
      <c r="A9" s="3" t="n"/>
      <c r="B9" s="3" t="n"/>
      <c r="C9" s="3" t="n"/>
      <c r="D9" s="3" t="n"/>
    </row>
    <row r="10" ht="38" customHeight="1">
      <c r="A10" s="3" t="n"/>
      <c r="B10" s="3" t="n"/>
      <c r="C10" s="3" t="n"/>
      <c r="D10" s="3" t="n"/>
    </row>
    <row r="11" ht="38" customHeight="1">
      <c r="A11" s="3" t="inlineStr">
        <is>
          <t>How to update</t>
        </is>
      </c>
      <c r="B11" s="3" t="n"/>
      <c r="C11" s="3" t="n"/>
      <c r="D11" s="3" t="n"/>
    </row>
    <row r="12" ht="38" customHeight="1">
      <c r="A12" s="3" t="inlineStr">
        <is>
          <t>1</t>
        </is>
      </c>
      <c r="B12" s="3" t="inlineStr">
        <is>
          <t>Assign owners and due dates in amber cells.</t>
        </is>
      </c>
      <c r="C12" s="3" t="str"/>
      <c r="D12" s="3" t="str"/>
    </row>
    <row r="13" ht="38" customHeight="1">
      <c r="A13" s="3" t="inlineStr">
        <is>
          <t>2</t>
        </is>
      </c>
      <c r="B13" s="3" t="inlineStr">
        <is>
          <t>Record test result, evidence location and reviewer.</t>
        </is>
      </c>
      <c r="C13" s="3" t="str"/>
      <c r="D13" s="3" t="str"/>
    </row>
    <row r="14" ht="38" customHeight="1">
      <c r="A14" s="3" t="inlineStr">
        <is>
          <t>3</t>
        </is>
      </c>
      <c r="B14" s="3" t="inlineStr">
        <is>
          <t>Verified counts require Pass, evidence and reviewer.</t>
        </is>
      </c>
      <c r="C14" s="3" t="str"/>
      <c r="D14" s="3" t="str"/>
    </row>
    <row r="15" ht="38" customHeight="1">
      <c r="A15" s="3" t="inlineStr">
        <is>
          <t>4</t>
        </is>
      </c>
      <c r="B15" s="3" t="inlineStr">
        <is>
          <t>Package completion is a recorded status, not proof that dependencies or gates passed.</t>
        </is>
      </c>
      <c r="C15" s="3" t="str"/>
      <c r="D15" s="3" t="str"/>
    </row>
    <row r="16" ht="38" customHeight="1">
      <c r="A16" s="3" t="inlineStr">
        <is>
          <t>5</t>
        </is>
      </c>
      <c r="B16" s="3" t="inlineStr">
        <is>
          <t>Keep conditional items visible; no automatic exclusions or approvals.</t>
        </is>
      </c>
      <c r="C16" s="3" t="str"/>
      <c r="D16" s="3" t="str"/>
    </row>
    <row r="17" ht="38" customHeight="1">
      <c r="A17" s="3" t="n"/>
      <c r="B17" s="3" t="n"/>
      <c r="C17" s="3" t="n"/>
      <c r="D17" s="3" t="n"/>
    </row>
    <row r="18" ht="50" customHeight="1">
      <c r="A18" s="3" t="inlineStr">
        <is>
          <t>Source</t>
        </is>
      </c>
      <c r="B18" s="3" t="inlineStr">
        <is>
          <t>Directive v1.2 unchanged. Blueprint v0.2 owner approved on 15 September 2026. See APR-001 in Section 9.</t>
        </is>
      </c>
      <c r="C18" s="3" t="n"/>
      <c r="D18" s="3" t="n"/>
    </row>
    <row r="19" ht="50" customHeight="1">
      <c r="A19" s="3" t="n"/>
      <c r="B19" s="3" t="inlineStr">
        <is>
          <t>Owner review approved; tests remain unverified. DEC01–11 need further inputs. DEC12 policy adopted; real imports require authorisation.</t>
        </is>
      </c>
      <c r="C19" s="3" t="n"/>
      <c r="D19" s="3"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O63"/>
  <sheetViews>
    <sheetView showGridLines="0" workbookViewId="0">
      <pane xSplit="1" ySplit="5" topLeftCell="B6" activePane="bottomRight" state="frozen"/>
      <selection activeCell="A1" sqref="A1"/>
    </sheetView>
  </sheetViews>
  <sheetFormatPr baseColWidth="8" defaultRowHeight="15"/>
  <cols>
    <col width="14" customWidth="1" min="1" max="1"/>
    <col width="16" customWidth="1" min="2" max="2"/>
    <col width="60" customWidth="1" min="3" max="3"/>
    <col width="24" customWidth="1" min="4" max="4"/>
    <col width="13" customWidth="1" min="5" max="5"/>
    <col width="23" customWidth="1" min="6" max="6"/>
    <col width="14" customWidth="1" min="7" max="7"/>
    <col width="64" customWidth="1" min="8" max="8"/>
    <col width="16" customWidth="1" min="9" max="9"/>
    <col width="35" customWidth="1" min="10" max="10"/>
    <col width="24" customWidth="1" min="11" max="11"/>
    <col width="18" customWidth="1" min="12" max="12"/>
    <col width="24" customWidth="1" min="13" max="13"/>
    <col width="16" customWidth="1" min="14" max="14"/>
    <col width="35" customWidth="1" min="15" max="15"/>
  </cols>
  <sheetData>
    <row r="2">
      <c r="A2" s="1" t="inlineStr">
        <is>
          <t>Requirements — Blueprint v0.2 Approved</t>
        </is>
      </c>
    </row>
    <row r="5" ht="30" customHeight="1">
      <c r="A5" s="6" t="inlineStr">
        <is>
          <t>ID</t>
        </is>
      </c>
      <c r="B5" s="6" t="inlineStr">
        <is>
          <t>Area</t>
        </is>
      </c>
      <c r="C5" s="6" t="inlineStr">
        <is>
          <t>Requirement</t>
        </is>
      </c>
      <c r="D5" s="6" t="inlineStr">
        <is>
          <t>Directive source</t>
        </is>
      </c>
      <c r="E5" s="6" t="inlineStr">
        <is>
          <t>Package</t>
        </is>
      </c>
      <c r="F5" s="6" t="inlineStr">
        <is>
          <t>Acceptance</t>
        </is>
      </c>
      <c r="G5" s="6" t="inlineStr">
        <is>
          <t>Test ID</t>
        </is>
      </c>
      <c r="H5" s="6" t="inlineStr">
        <is>
          <t>Expected result</t>
        </is>
      </c>
      <c r="I5" s="6" t="inlineStr">
        <is>
          <t>Test result</t>
        </is>
      </c>
      <c r="J5" s="6" t="inlineStr">
        <is>
          <t>Evidence reference</t>
        </is>
      </c>
      <c r="K5" s="6" t="inlineStr">
        <is>
          <t>Reviewer</t>
        </is>
      </c>
      <c r="L5" s="6" t="inlineStr">
        <is>
          <t>Verification</t>
        </is>
      </c>
      <c r="M5" s="6" t="inlineStr">
        <is>
          <t>Assigned owner</t>
        </is>
      </c>
      <c r="N5" s="6" t="inlineStr">
        <is>
          <t>Due date</t>
        </is>
      </c>
      <c r="O5" s="6" t="inlineStr">
        <is>
          <t>Notes</t>
        </is>
      </c>
    </row>
    <row r="6" ht="95" customHeight="1">
      <c r="A6" s="4" t="inlineStr">
        <is>
          <t>REQ-001</t>
        </is>
      </c>
      <c r="B6" s="4" t="inlineStr">
        <is>
          <t>Identity</t>
        </is>
      </c>
      <c r="C6" s="4" t="inlineStr">
        <is>
          <t>Register organisations and verified users; create an explicit organisation membership before project access.</t>
        </is>
      </c>
      <c r="D6" s="4" t="inlineStr">
        <is>
          <t>Directive v1.2 §5.1, 5.4, 9</t>
        </is>
      </c>
      <c r="E6" s="4" t="inlineStr">
        <is>
          <t>WP03</t>
        </is>
      </c>
      <c r="F6" s="4" t="inlineStr">
        <is>
          <t>AC01 AC02 AC21</t>
        </is>
      </c>
      <c r="G6" s="4" t="inlineStr">
        <is>
          <t>TST-001</t>
        </is>
      </c>
      <c r="H6" s="4" t="inlineStr">
        <is>
          <t>A verified member reaches only their organisation; an unverified or unrelated account is denied.</t>
        </is>
      </c>
      <c r="I6" s="7" t="inlineStr">
        <is>
          <t>Pass</t>
        </is>
      </c>
      <c r="J6" s="7" t="inlineStr">
        <is>
          <t>commit deb3969 (WP03); explicit organisation membership created at registration; test_identity.py registration tests</t>
        </is>
      </c>
      <c r="K6" s="7" t="str"/>
      <c r="L6" s="4">
        <f>IF(AND(I6="Pass",J6&lt;&gt;"",K6&lt;&gt;""),"Verified","Unverified")</f>
        <v/>
      </c>
      <c r="M6" s="7" t="str"/>
      <c r="N6" s="12" t="str"/>
      <c r="O6" s="7" t="str"/>
    </row>
    <row r="7" ht="95" customHeight="1">
      <c r="A7" s="4" t="inlineStr">
        <is>
          <t>REQ-002</t>
        </is>
      </c>
      <c r="B7" s="4" t="inlineStr">
        <is>
          <t>Identity</t>
        </is>
      </c>
      <c r="C7" s="4" t="inlineStr">
        <is>
          <t>Require MFA for approval authority and provide accessible setup and verified recovery without elevating rights.</t>
        </is>
      </c>
      <c r="D7" s="4" t="inlineStr">
        <is>
          <t>Directive v1.2 §5.4, 7.3</t>
        </is>
      </c>
      <c r="E7" s="4" t="inlineStr">
        <is>
          <t>WP03</t>
        </is>
      </c>
      <c r="F7" s="4" t="inlineStr">
        <is>
          <t>AC14 AC21</t>
        </is>
      </c>
      <c r="G7" s="4" t="inlineStr">
        <is>
          <t>TST-002</t>
        </is>
      </c>
      <c r="H7" s="4" t="inlineStr">
        <is>
          <t>An approver without MFA cannot submit; recovery restores access only after identity checks and MFA re-enrolment.</t>
        </is>
      </c>
      <c r="I7" s="7" t="inlineStr">
        <is>
          <t>Pass</t>
        </is>
      </c>
      <c r="J7" s="7" t="inlineStr">
        <is>
          <t>require_mfa dependency (app/deps.py) gates approval authority; BGP-F01 fix (b1fb402) made login session-bound to a real second-factor check, not an account flag; test_hardening.py MFA-session tests</t>
        </is>
      </c>
      <c r="K7" s="7" t="inlineStr">
        <is>
          <t>MiltonBello15 (PR#3, BGP-F01 fix -- APPROVED)</t>
        </is>
      </c>
      <c r="L7" s="4">
        <f>IF(AND(I7="Pass",J7&lt;&gt;"",K7&lt;&gt;""),"Verified","Unverified")</f>
        <v/>
      </c>
      <c r="M7" s="7" t="str"/>
      <c r="N7" s="12" t="str"/>
      <c r="O7" s="7" t="str"/>
    </row>
    <row r="8" ht="95" customHeight="1">
      <c r="A8" s="4" t="inlineStr">
        <is>
          <t>REQ-003</t>
        </is>
      </c>
      <c r="B8" s="4" t="inlineStr">
        <is>
          <t>Identity</t>
        </is>
      </c>
      <c r="C8" s="4" t="inlineStr">
        <is>
          <t>Resolve active tenant from authenticated server session; verify membership when switching organisations.</t>
        </is>
      </c>
      <c r="D8" s="4" t="inlineStr">
        <is>
          <t>Directive v1.2 §5.1</t>
        </is>
      </c>
      <c r="E8" s="4" t="inlineStr">
        <is>
          <t>WP03</t>
        </is>
      </c>
      <c r="F8" s="4" t="inlineStr">
        <is>
          <t>AC02 AC14</t>
        </is>
      </c>
      <c r="G8" s="4" t="inlineStr">
        <is>
          <t>TST-003</t>
        </is>
      </c>
      <c r="H8" s="4" t="inlineStr">
        <is>
          <t>Changing a URL, request body or cookie tenant claim cannot grant another tenant; expired membership denies access.</t>
        </is>
      </c>
      <c r="I8" s="7" t="inlineStr">
        <is>
          <t>Pass</t>
        </is>
      </c>
      <c r="J8" s="7" t="inlineStr">
        <is>
          <t>Active tenant resolved from server session (app/deps.py); org-bootstrap RLS-context-ordering bug in get_active_membership fixed PR#4 (ac7f0f1)</t>
        </is>
      </c>
      <c r="K8" s="7" t="inlineStr">
        <is>
          <t>MiltonBello15 (PR#4 -- APPROVED)</t>
        </is>
      </c>
      <c r="L8" s="4">
        <f>IF(AND(I8="Pass",J8&lt;&gt;"",K8&lt;&gt;""),"Verified","Unverified")</f>
        <v/>
      </c>
      <c r="M8" s="7" t="str"/>
      <c r="N8" s="12" t="str"/>
      <c r="O8" s="7" t="str"/>
    </row>
    <row r="9" ht="95" customHeight="1">
      <c r="A9" s="4" t="inlineStr">
        <is>
          <t>REQ-004</t>
        </is>
      </c>
      <c r="B9" s="4" t="inlineStr">
        <is>
          <t>Identity</t>
        </is>
      </c>
      <c r="C9" s="4" t="inlineStr">
        <is>
          <t>Enforce project membership and template role permissions at each service operation.</t>
        </is>
      </c>
      <c r="D9" s="4" t="inlineStr">
        <is>
          <t>Directive v1.2 §5.4</t>
        </is>
      </c>
      <c r="E9" s="4" t="inlineStr">
        <is>
          <t>WP03</t>
        </is>
      </c>
      <c r="F9" s="4" t="inlineStr">
        <is>
          <t>AC14 AC16</t>
        </is>
      </c>
      <c r="G9" s="4" t="inlineStr">
        <is>
          <t>TST-004</t>
        </is>
      </c>
      <c r="H9" s="4" t="inlineStr">
        <is>
          <t>Contributor, approver and assurance users receive only allowed reads and writes.</t>
        </is>
      </c>
      <c r="I9" s="7" t="inlineStr">
        <is>
          <t>Pass</t>
        </is>
      </c>
      <c r="J9" s="7" t="inlineStr">
        <is>
          <t>require_role()/membership checks enforced per router (backend/app/routers/*.py); RLS-backed tests across test_wp0*_tenant_isolation_rls.py</t>
        </is>
      </c>
      <c r="K9" s="7" t="str"/>
      <c r="L9" s="4">
        <f>IF(AND(I9="Pass",J9&lt;&gt;"",K9&lt;&gt;""),"Verified","Unverified")</f>
        <v/>
      </c>
      <c r="M9" s="7" t="str"/>
      <c r="N9" s="12" t="str"/>
      <c r="O9" s="7" t="str"/>
    </row>
    <row r="10" ht="95" customHeight="1">
      <c r="A10" s="4" t="inlineStr">
        <is>
          <t>REQ-005</t>
        </is>
      </c>
      <c r="B10" s="4" t="inlineStr">
        <is>
          <t>Identity</t>
        </is>
      </c>
      <c r="C10" s="4" t="inlineStr">
        <is>
          <t>Record and show tenant-administrator access to projects outside their membership to the sponsor.</t>
        </is>
      </c>
      <c r="D10" s="4" t="inlineStr">
        <is>
          <t>Directive v1.2 §5.4</t>
        </is>
      </c>
      <c r="E10" s="4" t="inlineStr">
        <is>
          <t>WP03</t>
        </is>
      </c>
      <c r="F10" s="4" t="inlineStr">
        <is>
          <t>AC14</t>
        </is>
      </c>
      <c r="G10" s="4" t="inlineStr">
        <is>
          <t>TST-005</t>
        </is>
      </c>
      <c r="H10" s="4" t="inlineStr">
        <is>
          <t>The access event identifies actor, project and time and is visible to the sponsor.</t>
        </is>
      </c>
      <c r="I10" s="7" t="inlineStr">
        <is>
          <t>Pass</t>
        </is>
      </c>
      <c r="J10" s="7" t="inlineStr">
        <is>
          <t>GET /orgs/{tenant_id}/access-review (app/routers/orgs.py:232); test_access_review_lists_tenant_membership + test_access_review_requires_tenant_administrator_role</t>
        </is>
      </c>
      <c r="K10" s="7" t="str"/>
      <c r="L10" s="4">
        <f>IF(AND(I10="Pass",J10&lt;&gt;"",K10&lt;&gt;""),"Verified","Unverified")</f>
        <v/>
      </c>
      <c r="M10" s="7" t="str"/>
      <c r="N10" s="12" t="str"/>
      <c r="O10" s="7" t="str"/>
    </row>
    <row r="11" ht="95" customHeight="1">
      <c r="A11" s="4" t="inlineStr">
        <is>
          <t>REQ-006</t>
        </is>
      </c>
      <c r="B11" s="4" t="inlineStr">
        <is>
          <t>Identity</t>
        </is>
      </c>
      <c r="C11" s="4" t="inlineStr">
        <is>
          <t>Enforce separation of duties; any permitted override records approved compensating review and independent reviewer.</t>
        </is>
      </c>
      <c r="D11" s="4" t="inlineStr">
        <is>
          <t>Directive v1.2 §5.4</t>
        </is>
      </c>
      <c r="E11" s="4" t="inlineStr">
        <is>
          <t>WP07</t>
        </is>
      </c>
      <c r="F11" s="4" t="inlineStr">
        <is>
          <t>AC14</t>
        </is>
      </c>
      <c r="G11" s="4" t="inlineStr">
        <is>
          <t>TST-006</t>
        </is>
      </c>
      <c r="H11" s="4" t="inlineStr">
        <is>
          <t>Self-only approval is rejected unless the scoped override is valid; an empty reviewer note cannot satisfy it.</t>
        </is>
      </c>
      <c r="I11" s="7" t="inlineStr">
        <is>
          <t>Pass</t>
        </is>
      </c>
      <c r="J11" s="7" t="inlineStr">
        <is>
          <t>Compensating review now created from the reviewer's own authenticated, MFA-verified session (BGP-F02 fix, b1fb402); preparer-set-from-ownership bypass closed by the follow-up fix (b8bb22a, PR#3): test_clearing_or_reassigning_ownership_cannot_defeat_separation_of_duties</t>
        </is>
      </c>
      <c r="K11" s="7" t="inlineStr">
        <is>
          <t>MiltonBello15 (PR#3, BGP-F02 + follow-up fix -- APPROVED)</t>
        </is>
      </c>
      <c r="L11" s="4">
        <f>IF(AND(I11="Pass",J11&lt;&gt;"",K11&lt;&gt;""),"Verified","Unverified")</f>
        <v/>
      </c>
      <c r="M11" s="7" t="str"/>
      <c r="N11" s="12" t="str"/>
      <c r="O11" s="7" t="str"/>
    </row>
    <row r="12" ht="95" customHeight="1">
      <c r="A12" s="4" t="inlineStr">
        <is>
          <t>REQ-007</t>
        </is>
      </c>
      <c r="B12" s="4" t="inlineStr">
        <is>
          <t>Tenancy</t>
        </is>
      </c>
      <c r="C12" s="4" t="inlineStr">
        <is>
          <t>Put tenant IDs on all owned rows and enforce PostgreSQL RLS through a restricted application role.</t>
        </is>
      </c>
      <c r="D12" s="4" t="inlineStr">
        <is>
          <t>Directive v1.2 §5.1</t>
        </is>
      </c>
      <c r="E12" s="4" t="inlineStr">
        <is>
          <t>WP04</t>
        </is>
      </c>
      <c r="F12" s="4" t="inlineStr">
        <is>
          <t>AC02</t>
        </is>
      </c>
      <c r="G12" s="4" t="inlineStr">
        <is>
          <t>TST-007</t>
        </is>
      </c>
      <c r="H12" s="4" t="inlineStr">
        <is>
          <t>Missing tenant context returns no owned records; application roles cannot bypass RLS or act as table owners.</t>
        </is>
      </c>
      <c r="I12" s="7" t="inlineStr">
        <is>
          <t>Pass</t>
        </is>
      </c>
      <c r="J12" s="7" t="inlineStr">
        <is>
          <t>tenant_id on every owned row; RLS migrations 0002 (WP04) and 0014 (org-bootstrap fix, PR#4); adversarial cross-tenant suite passing against real Postgres</t>
        </is>
      </c>
      <c r="K12" s="7" t="str"/>
      <c r="L12" s="4">
        <f>IF(AND(I12="Pass",J12&lt;&gt;"",K12&lt;&gt;""),"Verified","Unverified")</f>
        <v/>
      </c>
      <c r="M12" s="7" t="str"/>
      <c r="N12" s="12" t="str"/>
      <c r="O12" s="7" t="str"/>
    </row>
    <row r="13" ht="95" customHeight="1">
      <c r="A13" s="4" t="inlineStr">
        <is>
          <t>REQ-008</t>
        </is>
      </c>
      <c r="B13" s="4" t="inlineStr">
        <is>
          <t>Tenancy</t>
        </is>
      </c>
      <c r="C13" s="4" t="inlineStr">
        <is>
          <t>Reset tenant context across pooled transactions and enforce isolation in workers, files, caches, search and exports.</t>
        </is>
      </c>
      <c r="D13" s="4" t="inlineStr">
        <is>
          <t>Directive v1.2 §5.1, 5.5</t>
        </is>
      </c>
      <c r="E13" s="4" t="inlineStr">
        <is>
          <t>WP04</t>
        </is>
      </c>
      <c r="F13" s="4" t="inlineStr">
        <is>
          <t>AC02</t>
        </is>
      </c>
      <c r="G13" s="4" t="inlineStr">
        <is>
          <t>TST-008</t>
        </is>
      </c>
      <c r="H13" s="4" t="inlineStr">
        <is>
          <t>Reuse a connection between two tenants and run mixed-tenant jobs; no data crosses boundaries.</t>
        </is>
      </c>
      <c r="I13" s="7" t="inlineStr">
        <is>
          <t>Pass</t>
        </is>
      </c>
      <c r="J13" s="7" t="inlineStr">
        <is>
          <t>SET LOCAL app.tenant_id reset per request (app/deps.py); pooled-connection tenant-reset test in test_tenant_isolation_rls.py</t>
        </is>
      </c>
      <c r="K13" s="7" t="str"/>
      <c r="L13" s="4">
        <f>IF(AND(I13="Pass",J13&lt;&gt;"",K13&lt;&gt;""),"Verified","Unverified")</f>
        <v/>
      </c>
      <c r="M13" s="7" t="str"/>
      <c r="N13" s="12" t="str"/>
      <c r="O13" s="7" t="str"/>
    </row>
    <row r="14" ht="95" customHeight="1">
      <c r="A14" s="4" t="inlineStr">
        <is>
          <t>REQ-009</t>
        </is>
      </c>
      <c r="B14" s="4" t="inlineStr">
        <is>
          <t>Tenancy</t>
        </is>
      </c>
      <c r="C14" s="4" t="inlineStr">
        <is>
          <t>Run an adversarial cross-tenant suite as a blocking CI check and demonstrate detection of a seeded leak.</t>
        </is>
      </c>
      <c r="D14" s="4" t="inlineStr">
        <is>
          <t>Directive v1.2 §5.1, 12</t>
        </is>
      </c>
      <c r="E14" s="4" t="inlineStr">
        <is>
          <t>WP04</t>
        </is>
      </c>
      <c r="F14" s="4" t="inlineStr">
        <is>
          <t>AC02</t>
        </is>
      </c>
      <c r="G14" s="4" t="inlineStr">
        <is>
          <t>TST-009</t>
        </is>
      </c>
      <c r="H14" s="4" t="inlineStr">
        <is>
          <t>A deliberately weakened policy or service query causes the suite to fail; repaired code passes.</t>
        </is>
      </c>
      <c r="I14" s="7" t="inlineStr">
        <is>
          <t>Pass</t>
        </is>
      </c>
      <c r="J14" s="7" t="inlineStr">
        <is>
          <t>Adversarial cross-tenant suite is a real, currently-green, CI-blocking check -- confirmed live via gh run view on run 35670396664, 2026-09-24</t>
        </is>
      </c>
      <c r="K14" s="7" t="str"/>
      <c r="L14" s="4">
        <f>IF(AND(I14="Pass",J14&lt;&gt;"",K14&lt;&gt;""),"Verified","Unverified")</f>
        <v/>
      </c>
      <c r="M14" s="7" t="str"/>
      <c r="N14" s="12" t="str"/>
      <c r="O14" s="7" t="str"/>
    </row>
    <row r="15" ht="95" customHeight="1">
      <c r="A15" s="4" t="inlineStr">
        <is>
          <t>REQ-010</t>
        </is>
      </c>
      <c r="B15" s="4" t="inlineStr">
        <is>
          <t>Templates</t>
        </is>
      </c>
      <c r="C15" s="4" t="inlineStr">
        <is>
          <t>Version framework templates containing tracks, gates, classification, role, status, decision and applicability schemes.</t>
        </is>
      </c>
      <c r="D15" s="4" t="inlineStr">
        <is>
          <t>Directive v1.2 §5.2</t>
        </is>
      </c>
      <c r="E15" s="4" t="inlineStr">
        <is>
          <t>WP05</t>
        </is>
      </c>
      <c r="F15" s="4" t="inlineStr">
        <is>
          <t>AC09 AC13</t>
        </is>
      </c>
      <c r="G15" s="4" t="inlineStr">
        <is>
          <t>TST-010</t>
        </is>
      </c>
      <c r="H15" s="4" t="inlineStr">
        <is>
          <t>Three distinct framework fixtures represent expected classes, roles and gates without application code changes.</t>
        </is>
      </c>
      <c r="I15" s="7" t="inlineStr">
        <is>
          <t>Pass</t>
        </is>
      </c>
      <c r="J15" s="7" t="inlineStr">
        <is>
          <t>Template versioning in app/rule_engine.py + templates router; create/publish tested</t>
        </is>
      </c>
      <c r="K15" s="7" t="str"/>
      <c r="L15" s="4">
        <f>IF(AND(I15="Pass",J15&lt;&gt;"",K15&lt;&gt;""),"Verified","Unverified")</f>
        <v/>
      </c>
      <c r="M15" s="7" t="str"/>
      <c r="N15" s="12" t="str"/>
      <c r="O15" s="7" t="str"/>
    </row>
    <row r="16" ht="95" customHeight="1">
      <c r="A16" s="4" t="inlineStr">
        <is>
          <t>REQ-011</t>
        </is>
      </c>
      <c r="B16" s="4" t="inlineStr">
        <is>
          <t>Templates</t>
        </is>
      </c>
      <c r="C16" s="4" t="inlineStr">
        <is>
          <t>Make published versions immutable; bind each project to one version and approve explicit migrations.</t>
        </is>
      </c>
      <c r="D16" s="4" t="inlineStr">
        <is>
          <t>Directive v1.2 §5.2</t>
        </is>
      </c>
      <c r="E16" s="4" t="inlineStr">
        <is>
          <t>WP05</t>
        </is>
      </c>
      <c r="F16" s="4" t="inlineStr">
        <is>
          <t>AC13</t>
        </is>
      </c>
      <c r="G16" s="4" t="inlineStr">
        <is>
          <t>TST-011</t>
        </is>
      </c>
      <c r="H16" s="4" t="inlineStr">
        <is>
          <t>Publishing v2 leaves a v1 project unchanged; migration logs impact, approver and both versions.</t>
        </is>
      </c>
      <c r="I16" s="7" t="inlineStr">
        <is>
          <t>Pass</t>
        </is>
      </c>
      <c r="J16" s="7" t="inlineStr">
        <is>
          <t>Publish-time immutability enforced; changing a published template creates a new version, tested</t>
        </is>
      </c>
      <c r="K16" s="7" t="str"/>
      <c r="L16" s="4">
        <f>IF(AND(I16="Pass",J16&lt;&gt;"",K16&lt;&gt;""),"Verified","Unverified")</f>
        <v/>
      </c>
      <c r="M16" s="7" t="str"/>
      <c r="N16" s="12" t="str"/>
      <c r="O16" s="7" t="str"/>
    </row>
    <row r="17" ht="95" customHeight="1">
      <c r="A17" s="4" t="inlineStr">
        <is>
          <t>REQ-012</t>
        </is>
      </c>
      <c r="B17" s="4" t="inlineStr">
        <is>
          <t>Templates</t>
        </is>
      </c>
      <c r="C17" s="4" t="inlineStr">
        <is>
          <t>Provide guided authoring, fork, blank creation and schema-validated JSON import and export.</t>
        </is>
      </c>
      <c r="D17" s="4" t="inlineStr">
        <is>
          <t>Directive v1.2 §5.2, 7, 9</t>
        </is>
      </c>
      <c r="E17" s="4" t="inlineStr">
        <is>
          <t>WP05</t>
        </is>
      </c>
      <c r="F17" s="4" t="inlineStr">
        <is>
          <t>AC08 AC09</t>
        </is>
      </c>
      <c r="G17" s="4" t="inlineStr">
        <is>
          <t>TST-012</t>
        </is>
      </c>
      <c r="H17" s="4" t="inlineStr">
        <is>
          <t>A tenant builds and runs a template without JSON; malformed or unsupported imports explain the failing field.</t>
        </is>
      </c>
      <c r="I17" s="7" t="inlineStr">
        <is>
          <t>Partial</t>
        </is>
      </c>
      <c r="J17" s="7" t="inlineStr">
        <is>
          <t>fork_template/import_template (app/routers/templates.py:171,205) and create-blank are real, tested backend endpoints, but the guided-authoring UI (UI08) has no frontend page yet -- open as IPA02 in BGP_Implementation_Plan_Alignment_Findings_v1.0.docx</t>
        </is>
      </c>
      <c r="K17" s="7" t="str"/>
      <c r="L17" s="4">
        <f>IF(AND(I17="Pass",J17&lt;&gt;"",K17&lt;&gt;""),"Verified","Unverified")</f>
        <v/>
      </c>
      <c r="M17" s="7" t="str"/>
      <c r="N17" s="12" t="str"/>
      <c r="O17" s="7" t="str"/>
    </row>
    <row r="18" ht="95" customHeight="1">
      <c r="A18" s="4" t="inlineStr">
        <is>
          <t>REQ-013</t>
        </is>
      </c>
      <c r="B18" s="4" t="inlineStr">
        <is>
          <t>Templates</t>
        </is>
      </c>
      <c r="C18" s="4" t="inlineStr">
        <is>
          <t>Restrict configurable rules to a versioned declarative vocabulary; prohibit executable code and invariant overrides.</t>
        </is>
      </c>
      <c r="D18" s="4" t="inlineStr">
        <is>
          <t>Directive v1.2 §5.2.1</t>
        </is>
      </c>
      <c r="E18" s="4" t="inlineStr">
        <is>
          <t>WP05</t>
        </is>
      </c>
      <c r="F18" s="4" t="inlineStr">
        <is>
          <t>AC09</t>
        </is>
      </c>
      <c r="G18" s="4" t="inlineStr">
        <is>
          <t>TST-013</t>
        </is>
      </c>
      <c r="H18" s="4" t="inlineStr">
        <is>
          <t>Rule validation rejects arbitrary expressions, unknown operators, cycles and attempts to disable audit or export.</t>
        </is>
      </c>
      <c r="I18" s="7" t="inlineStr">
        <is>
          <t>Pass</t>
        </is>
      </c>
      <c r="J18" s="7" t="inlineStr">
        <is>
          <t>app/rule_engine.py restricted to eq/in/all/any vocabulary only, no eval/exec, depth limit 5</t>
        </is>
      </c>
      <c r="K18" s="7" t="str"/>
      <c r="L18" s="4">
        <f>IF(AND(I18="Pass",J18&lt;&gt;"",K18&lt;&gt;""),"Verified","Unverified")</f>
        <v/>
      </c>
      <c r="M18" s="7" t="str"/>
      <c r="N18" s="12" t="str"/>
      <c r="O18" s="7" t="str"/>
    </row>
    <row r="19" ht="95" customHeight="1">
      <c r="A19" s="4" t="inlineStr">
        <is>
          <t>REQ-014</t>
        </is>
      </c>
      <c r="B19" s="4" t="inlineStr">
        <is>
          <t>Templates</t>
        </is>
      </c>
      <c r="C19" s="4" t="inlineStr">
        <is>
          <t>Include KenAddme only after licensing clearance; otherwise supply a neutral starter.</t>
        </is>
      </c>
      <c r="D19" s="4" t="inlineStr">
        <is>
          <t>Directive v1.2 §5.2, 9, 14</t>
        </is>
      </c>
      <c r="E19" s="4" t="inlineStr">
        <is>
          <t>WP05</t>
        </is>
      </c>
      <c r="F19" s="4" t="inlineStr">
        <is>
          <t>AC01 AC09</t>
        </is>
      </c>
      <c r="G19" s="4" t="inlineStr">
        <is>
          <t>TST-014</t>
        </is>
      </c>
      <c r="H19" s="4" t="inlineStr">
        <is>
          <t>Release manifest records template provenance and licensing decision; unresolved content is excluded.</t>
        </is>
      </c>
      <c r="I19" s="7" t="inlineStr">
        <is>
          <t>Pass</t>
        </is>
      </c>
      <c r="J19" s="7" t="inlineStr">
        <is>
          <t>No real KenAddme content used; 3 neutral fictional framework fixtures (fixtures/synthetic/frameworks/) per DEC03's still-open licensing gate</t>
        </is>
      </c>
      <c r="K19" s="7" t="str"/>
      <c r="L19" s="4">
        <f>IF(AND(I19="Pass",J19&lt;&gt;"",K19&lt;&gt;""),"Verified","Unverified")</f>
        <v/>
      </c>
      <c r="M19" s="7" t="str"/>
      <c r="N19" s="12" t="str"/>
      <c r="O19" s="7" t="str"/>
    </row>
    <row r="20" ht="95" customHeight="1">
      <c r="A20" s="4" t="inlineStr">
        <is>
          <t>REQ-015</t>
        </is>
      </c>
      <c r="B20" s="4" t="inlineStr">
        <is>
          <t>Projects</t>
        </is>
      </c>
      <c r="C20" s="4" t="inlineStr">
        <is>
          <t>Create a project with name, template binding, class, owner and explicit members; seed applicable evidence.</t>
        </is>
      </c>
      <c r="D20" s="4" t="inlineStr">
        <is>
          <t>Directive v1.2 §2.4, 5.2, 9</t>
        </is>
      </c>
      <c r="E20" s="4" t="inlineStr">
        <is>
          <t>WP06</t>
        </is>
      </c>
      <c r="F20" s="4" t="inlineStr">
        <is>
          <t>AC01</t>
        </is>
      </c>
      <c r="G20" s="4" t="inlineStr">
        <is>
          <t>TST-015</t>
        </is>
      </c>
      <c r="H20" s="4" t="inlineStr">
        <is>
          <t>Creation commits project and required items together, or neither when seeding fails.</t>
        </is>
      </c>
      <c r="I20" s="7" t="inlineStr">
        <is>
          <t>Pass</t>
        </is>
      </c>
      <c r="J20" s="7" t="inlineStr">
        <is>
          <t>Atomic project seeding proven by test_seeding_failure_leaves_no_project_row (monkeypatches mid-seed failure, asserts zero rows persist)</t>
        </is>
      </c>
      <c r="K20" s="7" t="str"/>
      <c r="L20" s="4">
        <f>IF(AND(I20="Pass",J20&lt;&gt;"",K20&lt;&gt;""),"Verified","Unverified")</f>
        <v/>
      </c>
      <c r="M20" s="7" t="str"/>
      <c r="N20" s="12" t="str"/>
      <c r="O20" s="7" t="str"/>
    </row>
    <row r="21" ht="95" customHeight="1">
      <c r="A21" s="4" t="inlineStr">
        <is>
          <t>REQ-016</t>
        </is>
      </c>
      <c r="B21" s="4" t="inlineStr">
        <is>
          <t>Projects</t>
        </is>
      </c>
      <c r="C21" s="4" t="inlineStr">
        <is>
          <t>Represent every routine and triggered gate review as a separate occurrence with due date and evidence snapshot.</t>
        </is>
      </c>
      <c r="D21" s="4" t="inlineStr">
        <is>
          <t>Directive v1.2 §5.2.1, 11</t>
        </is>
      </c>
      <c r="E21" s="4" t="inlineStr">
        <is>
          <t>WP06</t>
        </is>
      </c>
      <c r="F21" s="4" t="inlineStr">
        <is>
          <t>AC12</t>
        </is>
      </c>
      <c r="G21" s="4" t="inlineStr">
        <is>
          <t>TST-016</t>
        </is>
      </c>
      <c r="H21" s="4" t="inlineStr">
        <is>
          <t>Two routine reviews and a triggered review preserve separate evidence and decisions.</t>
        </is>
      </c>
      <c r="I21" s="7" t="inlineStr">
        <is>
          <t>Pass</t>
        </is>
      </c>
      <c r="J21" s="7" t="inlineStr">
        <is>
          <t>gate_occurrences table represents every routine/triggered review as its own row (WP06)</t>
        </is>
      </c>
      <c r="K21" s="7" t="str"/>
      <c r="L21" s="4">
        <f>IF(AND(I21="Pass",J21&lt;&gt;"",K21&lt;&gt;""),"Verified","Unverified")</f>
        <v/>
      </c>
      <c r="M21" s="7" t="str"/>
      <c r="N21" s="12" t="str"/>
      <c r="O21" s="7" t="str"/>
    </row>
    <row r="22" ht="95" customHeight="1">
      <c r="A22" s="4" t="inlineStr">
        <is>
          <t>REQ-017</t>
        </is>
      </c>
      <c r="B22" s="4" t="inlineStr">
        <is>
          <t>Evidence</t>
        </is>
      </c>
      <c r="C22" s="4" t="inlineStr">
        <is>
          <t>Track evidence status, owner, due date, completion date and reference; retain immutable revisions and change attribution.</t>
        </is>
      </c>
      <c r="D22" s="4" t="inlineStr">
        <is>
          <t>Directive v1.2 §5.3, 5.5, 9</t>
        </is>
      </c>
      <c r="E22" s="4" t="inlineStr">
        <is>
          <t>WP06</t>
        </is>
      </c>
      <c r="F22" s="4" t="inlineStr">
        <is>
          <t>AC10 AC11</t>
        </is>
      </c>
      <c r="G22" s="4" t="inlineStr">
        <is>
          <t>TST-017</t>
        </is>
      </c>
      <c r="H22" s="4" t="inlineStr">
        <is>
          <t>Editing creates a new revision; prior actor, time and values remain available.</t>
        </is>
      </c>
      <c r="I22" s="7" t="inlineStr">
        <is>
          <t>Pass</t>
        </is>
      </c>
      <c r="J22" s="7" t="inlineStr">
        <is>
          <t>evidence_items track status/owner/due date/completion date/reference (WP06)</t>
        </is>
      </c>
      <c r="K22" s="7" t="str"/>
      <c r="L22" s="4">
        <f>IF(AND(I22="Pass",J22&lt;&gt;"",K22&lt;&gt;""),"Verified","Unverified")</f>
        <v/>
      </c>
      <c r="M22" s="7" t="str"/>
      <c r="N22" s="12" t="str"/>
      <c r="O22" s="7" t="str"/>
    </row>
    <row r="23" ht="95" customHeight="1">
      <c r="A23" s="4" t="inlineStr">
        <is>
          <t>REQ-018</t>
        </is>
      </c>
      <c r="B23" s="4" t="inlineStr">
        <is>
          <t>Evidence</t>
        </is>
      </c>
      <c r="C23" s="4" t="inlineStr">
        <is>
          <t>Validate completion against the resulting record on every update; do not allow removal of required evidence while Complete.</t>
        </is>
      </c>
      <c r="D23" s="4" t="inlineStr">
        <is>
          <t>Directive v1.2 §5.3.2</t>
        </is>
      </c>
      <c r="E23" s="4" t="inlineStr">
        <is>
          <t>WP06</t>
        </is>
      </c>
      <c r="F23" s="4" t="inlineStr">
        <is>
          <t>AC11</t>
        </is>
      </c>
      <c r="G23" s="4" t="inlineStr">
        <is>
          <t>TST-018</t>
        </is>
      </c>
      <c r="H23" s="4" t="inlineStr">
        <is>
          <t>A patch clearing a mandatory reference from a completed item is rejected or explicitly transitions it out of Complete.</t>
        </is>
      </c>
      <c r="I23" s="7" t="inlineStr">
        <is>
          <t>Pass</t>
        </is>
      </c>
      <c r="J23" s="7" t="inlineStr">
        <is>
          <t>status=Complete+required+no-reference rejected at the API boundary, enforced and tested</t>
        </is>
      </c>
      <c r="K23" s="7" t="str"/>
      <c r="L23" s="4">
        <f>IF(AND(I23="Pass",J23&lt;&gt;"",K23&lt;&gt;""),"Verified","Unverified")</f>
        <v/>
      </c>
      <c r="M23" s="7" t="str"/>
      <c r="N23" s="12" t="str"/>
      <c r="O23" s="7" t="str"/>
    </row>
    <row r="24" ht="95" customHeight="1">
      <c r="A24" s="4" t="inlineStr">
        <is>
          <t>REQ-019</t>
        </is>
      </c>
      <c r="B24" s="4" t="inlineStr">
        <is>
          <t>Evidence</t>
        </is>
      </c>
      <c r="C24" s="4" t="inlineStr">
        <is>
          <t>Bind approved evidence to source versions or hashes where available; disclose mutable-reference limitations.</t>
        </is>
      </c>
      <c r="D24" s="4" t="inlineStr">
        <is>
          <t>Directive v1.2 §5.3.1</t>
        </is>
      </c>
      <c r="E24" s="4" t="inlineStr">
        <is>
          <t>WP06</t>
        </is>
      </c>
      <c r="F24" s="4" t="inlineStr">
        <is>
          <t>AC04 AC10</t>
        </is>
      </c>
      <c r="G24" s="4" t="inlineStr">
        <is>
          <t>TST-019</t>
        </is>
      </c>
      <c r="H24" s="4" t="inlineStr">
        <is>
          <t>The approval manifest preserves exact local revision and available source version; an unversioned URL is labelled.</t>
        </is>
      </c>
      <c r="I24" s="7" t="inlineStr">
        <is>
          <t>Pass</t>
        </is>
      </c>
      <c r="J24" s="7" t="inlineStr">
        <is>
          <t>source_version/source_hash are explicit disclosed fields, never inferred; preserved through export/import re-hops per BGP-F04 fix (b1fb402) and follow-up fix (b8bb22a)</t>
        </is>
      </c>
      <c r="K24" s="7" t="inlineStr">
        <is>
          <t>MiltonBello15 (PR#3, BGP-F04 follow-up fix -- APPROVED)</t>
        </is>
      </c>
      <c r="L24" s="4">
        <f>IF(AND(I24="Pass",J24&lt;&gt;"",K24&lt;&gt;""),"Verified","Unverified")</f>
        <v/>
      </c>
      <c r="M24" s="7" t="str"/>
      <c r="N24" s="12" t="str"/>
      <c r="O24" s="7" t="str"/>
    </row>
    <row r="25" ht="95" customHeight="1">
      <c r="A25" s="4" t="inlineStr">
        <is>
          <t>REQ-020</t>
        </is>
      </c>
      <c r="B25" s="4" t="inlineStr">
        <is>
          <t>Exceptions</t>
        </is>
      </c>
      <c r="C25" s="4" t="inlineStr">
        <is>
          <t>Validate not-applicable classifications against rules and class floor; validate exceptions by authority, scope and expiry.</t>
        </is>
      </c>
      <c r="D25" s="4" t="inlineStr">
        <is>
          <t>Directive v1.2 §5.3.2</t>
        </is>
      </c>
      <c r="E25" s="4" t="inlineStr">
        <is>
          <t>WP07</t>
        </is>
      </c>
      <c r="F25" s="4" t="inlineStr">
        <is>
          <t>AC03 AC11</t>
        </is>
      </c>
      <c r="G25" s="4" t="inlineStr">
        <is>
          <t>TST-020</t>
        </is>
      </c>
      <c r="H25" s="4" t="inlineStr">
        <is>
          <t>A typed status alone cannot exclude an item; expired, revoked and unrelated exceptions are rejected.</t>
        </is>
      </c>
      <c r="I25" s="7" t="inlineStr">
        <is>
          <t>Pass</t>
        </is>
      </c>
      <c r="J25" s="7" t="inlineStr">
        <is>
          <t>Corrected 2026-09-24: the codebase's real mechanism for a not-applicable classification is an authority/scope/expiry-checked ExceptionRecord (app/routers/decisions.py), not a literal status string -- my first grep for the literal text "Not applicable" was the wrong search and produced a false negative. REQ-020's own verify text ("A typed status alone cannot exclude an item; expired, revoked and unrelated exceptions are rejected") is met: test_exception_excuses_a_hard_blocker_and_revocation_reinstates_it (pre-existing, revocation), test_exception_that_has_expired_over_time_no_longer_excuses_the_blocker (new, live expiry re-check) and test_exception_scoped_to_one_item_does_not_excuse_a_different_item (new, cross-item scoping). Both new tests independently verified 2026-09-24 to actually fail when the real check is removed, not just pass by coincidence.</t>
        </is>
      </c>
      <c r="K25" s="7" t="str"/>
      <c r="L25" s="4">
        <f>IF(AND(I25="Pass",J25&lt;&gt;"",K25&lt;&gt;""),"Verified","Unverified")</f>
        <v/>
      </c>
      <c r="M25" s="7" t="str"/>
      <c r="N25" s="12" t="str"/>
      <c r="O25" s="7" t="str"/>
    </row>
    <row r="26" ht="95" customHeight="1">
      <c r="A26" s="4" t="inlineStr">
        <is>
          <t>REQ-021</t>
        </is>
      </c>
      <c r="B26" s="4" t="inlineStr">
        <is>
          <t>Exceptions</t>
        </is>
      </c>
      <c r="C26" s="4" t="inlineStr">
        <is>
          <t>Reassess affected gates when exceptions expire or evidence changes; preserve earlier decisions.</t>
        </is>
      </c>
      <c r="D26" s="4" t="inlineStr">
        <is>
          <t>Directive v1.2 §5.3.1, 5.3.2</t>
        </is>
      </c>
      <c r="E26" s="4" t="inlineStr">
        <is>
          <t>WP07</t>
        </is>
      </c>
      <c r="F26" s="4" t="inlineStr">
        <is>
          <t>AC10 AC11</t>
        </is>
      </c>
      <c r="G26" s="4" t="inlineStr">
        <is>
          <t>TST-021</t>
        </is>
      </c>
      <c r="H26" s="4" t="inlineStr">
        <is>
          <t>An expired exception changes current readiness and triggers reassessment without rewriting history.</t>
        </is>
      </c>
      <c r="I26" s="7" t="inlineStr">
        <is>
          <t>Pass</t>
        </is>
      </c>
      <c r="J26" s="7" t="inlineStr">
        <is>
          <t>Exception create/revoke endpoints re-check authority/scope/expiry live on every call (app/routers/decisions.py), never trusted from a stored status field alone</t>
        </is>
      </c>
      <c r="K26" s="7" t="str"/>
      <c r="L26" s="4">
        <f>IF(AND(I26="Pass",J26&lt;&gt;"",K26&lt;&gt;""),"Verified","Unverified")</f>
        <v/>
      </c>
      <c r="M26" s="7" t="str"/>
      <c r="N26" s="12" t="str"/>
      <c r="O26" s="7" t="str"/>
    </row>
    <row r="27" ht="95" customHeight="1">
      <c r="A27" s="4" t="inlineStr">
        <is>
          <t>REQ-022</t>
        </is>
      </c>
      <c r="B27" s="4" t="inlineStr">
        <is>
          <t>Decisions</t>
        </is>
      </c>
      <c r="C27" s="4" t="inlineStr">
        <is>
          <t>Permit approval only with satisfied requirements; conditional approval needs allowed conditions, owner, deadline and activity limits.</t>
        </is>
      </c>
      <c r="D27" s="4" t="inlineStr">
        <is>
          <t>Directive v1.2 §5.3.2</t>
        </is>
      </c>
      <c r="E27" s="4" t="inlineStr">
        <is>
          <t>WP07</t>
        </is>
      </c>
      <c r="F27" s="4" t="inlineStr">
        <is>
          <t>AC03 AC11</t>
        </is>
      </c>
      <c r="G27" s="4" t="inlineStr">
        <is>
          <t>TST-022</t>
        </is>
      </c>
      <c r="H27" s="4" t="inlineStr">
        <is>
          <t>Missing deadline or unresolved critical blocker denies conditional approval and records the attempt.</t>
        </is>
      </c>
      <c r="I27" s="7" t="inlineStr">
        <is>
          <t>Partial</t>
        </is>
      </c>
      <c r="J27" s="7" t="inlineStr">
        <is>
          <t>Conditions are recorded and required before a conditional approval, but REQ-022's own 'activity limits' on what a conditionally-approved project can then do are not enforced -- an open gap named in the WP07 build notes since 2026-09-16 (TR04)</t>
        </is>
      </c>
      <c r="K27" s="7" t="str"/>
      <c r="L27" s="4">
        <f>IF(AND(I27="Pass",J27&lt;&gt;"",K27&lt;&gt;""),"Verified","Unverified")</f>
        <v/>
      </c>
      <c r="M27" s="7" t="str"/>
      <c r="N27" s="12" t="str"/>
      <c r="O27" s="7" t="str"/>
    </row>
    <row r="28" ht="95" customHeight="1">
      <c r="A28" s="4" t="inlineStr">
        <is>
          <t>REQ-023</t>
        </is>
      </c>
      <c r="B28" s="4" t="inlineStr">
        <is>
          <t>Decisions</t>
        </is>
      </c>
      <c r="C28" s="4" t="inlineStr">
        <is>
          <t>Record decisions append-only with authenticated authority, server time, occurrence, template and evidence manifest.</t>
        </is>
      </c>
      <c r="D28" s="4" t="inlineStr">
        <is>
          <t>Directive v1.2 §5.3.1</t>
        </is>
      </c>
      <c r="E28" s="4" t="inlineStr">
        <is>
          <t>WP07</t>
        </is>
      </c>
      <c r="F28" s="4" t="inlineStr">
        <is>
          <t>AC04 AC10</t>
        </is>
      </c>
      <c r="G28" s="4" t="inlineStr">
        <is>
          <t>TST-023</t>
        </is>
      </c>
      <c r="H28" s="4" t="inlineStr">
        <is>
          <t>Requests cannot supply an authoritative actor or timestamp; resulting records include all required bindings.</t>
        </is>
      </c>
      <c r="I28" s="7" t="inlineStr">
        <is>
          <t>Pass</t>
        </is>
      </c>
      <c r="J28" s="7" t="inlineStr">
        <is>
          <t>decision_records is a SELECT+INSERT-only DB-role grant (not just a route-level check); test_wp07_tenant_isolation_rls.py proves UPDATE/DELETE both raise permission denied</t>
        </is>
      </c>
      <c r="K28" s="7" t="str"/>
      <c r="L28" s="4">
        <f>IF(AND(I28="Pass",J28&lt;&gt;"",K28&lt;&gt;""),"Verified","Unverified")</f>
        <v/>
      </c>
      <c r="M28" s="7" t="str"/>
      <c r="N28" s="12" t="str"/>
      <c r="O28" s="7" t="str"/>
    </row>
    <row r="29" ht="95" customHeight="1">
      <c r="A29" s="4" t="inlineStr">
        <is>
          <t>REQ-024</t>
        </is>
      </c>
      <c r="B29" s="4" t="inlineStr">
        <is>
          <t>Decisions</t>
        </is>
      </c>
      <c r="C29" s="4" t="inlineStr">
        <is>
          <t>Recheck authority and reviewed revision atomically; prevent stale approval and duplicate retry decisions.</t>
        </is>
      </c>
      <c r="D29" s="4" t="inlineStr">
        <is>
          <t>Directive v1.2 §5.3.1</t>
        </is>
      </c>
      <c r="E29" s="4" t="inlineStr">
        <is>
          <t>WP07</t>
        </is>
      </c>
      <c r="F29" s="4" t="inlineStr">
        <is>
          <t>AC10</t>
        </is>
      </c>
      <c r="G29" s="4" t="inlineStr">
        <is>
          <t>TST-024</t>
        </is>
      </c>
      <c r="H29" s="4" t="inlineStr">
        <is>
          <t>Concurrent evidence or membership changes reject stale commits; repeated identical keys return one decision.</t>
        </is>
      </c>
      <c r="I29" s="7" t="inlineStr">
        <is>
          <t>Pass</t>
        </is>
      </c>
      <c r="J29" s="7" t="inlineStr">
        <is>
          <t>Corrected 2026-09-25: two of the three gaps this note claimed were false when checked against the actual code -- exception validity (_exception_is_currently_valid, lock=True from _compute_readiness) and compensating-reviewer authority (_check_separation_of_duties's two with_for_update() calls) were already locked, added by the same BGP-F03 follow-up commit (b8bb22a) this note itself cites, just not re-verified before writing 'not locked' here. The one real gap -- the ACTING decision-maker's own tenant-level Membership was checked once, unlocked, by app/deps.py's get_active_membership before the handler ran, never re-locked at commit time -- is now fixed: _require_decision_authority locks and rechecks it (same fixed lock order as the rest of this path). Proved with a new live-Postgres lock-blocking test (test_tenant_membership_lock_blocks_a_concurrent_writer, test_bgp_f03_decision_concurrency.py), same technique as the existing ProjectMembership/evidence-item proofs alongside it. All three of REQ-024's own verify-text clauses (evidence changes, membership changes, repeated idempotency keys) now hold with passing tests. Full suite green after the fix.</t>
        </is>
      </c>
      <c r="K29" s="7" t="inlineStr">
        <is>
          <t>MiltonBello15 (PR#3/#4, concurrency fixes -- APPROVED; gap remains beyond what those PRs fixed)</t>
        </is>
      </c>
      <c r="L29" s="4">
        <f>IF(AND(I29="Pass",J29&lt;&gt;"",K29&lt;&gt;""),"Verified","Unverified")</f>
        <v/>
      </c>
      <c r="M29" s="7" t="str"/>
      <c r="N29" s="12" t="str"/>
      <c r="O29" s="7" t="str"/>
    </row>
    <row r="30" ht="95" customHeight="1">
      <c r="A30" s="4" t="inlineStr">
        <is>
          <t>REQ-025</t>
        </is>
      </c>
      <c r="B30" s="4" t="inlineStr">
        <is>
          <t>Decisions</t>
        </is>
      </c>
      <c r="C30" s="4" t="inlineStr">
        <is>
          <t>Support superseding corrections only; record a reason and original-decision link.</t>
        </is>
      </c>
      <c r="D30" s="4" t="inlineStr">
        <is>
          <t>Directive v1.2 §5.3</t>
        </is>
      </c>
      <c r="E30" s="4" t="inlineStr">
        <is>
          <t>WP07</t>
        </is>
      </c>
      <c r="F30" s="4" t="inlineStr">
        <is>
          <t>AC04 AC12</t>
        </is>
      </c>
      <c r="G30" s="4" t="inlineStr">
        <is>
          <t>TST-025</t>
        </is>
      </c>
      <c r="H30" s="4" t="inlineStr">
        <is>
          <t>Every application role is denied UPDATE or DELETE of decisions; a new correction retains the original.</t>
        </is>
      </c>
      <c r="I30" s="7" t="inlineStr">
        <is>
          <t>Pass</t>
        </is>
      </c>
      <c r="J30" s="7" t="inlineStr">
        <is>
          <t>Superseding endpoint never mutates the original row; a reason is mandatory; original-decision reference preserved</t>
        </is>
      </c>
      <c r="K30" s="7" t="str"/>
      <c r="L30" s="4">
        <f>IF(AND(I30="Pass",J30&lt;&gt;"",K30&lt;&gt;""),"Verified","Unverified")</f>
        <v/>
      </c>
      <c r="M30" s="7" t="str"/>
      <c r="N30" s="12" t="str"/>
      <c r="O30" s="7" t="str"/>
    </row>
    <row r="31" ht="95" customHeight="1">
      <c r="A31" s="4" t="inlineStr">
        <is>
          <t>REQ-026</t>
        </is>
      </c>
      <c r="B31" s="4" t="inlineStr">
        <is>
          <t>Integrity</t>
        </is>
      </c>
      <c r="C31" s="4" t="inlineStr">
        <is>
          <t>Detect privileged tampering using separately controlled verification material, with defined custody and verification frequency.</t>
        </is>
      </c>
      <c r="D31" s="4" t="inlineStr">
        <is>
          <t>Directive v1.2 §5.3.1</t>
        </is>
      </c>
      <c r="E31" s="4" t="inlineStr">
        <is>
          <t>WP08</t>
        </is>
      </c>
      <c r="F31" s="4" t="inlineStr">
        <is>
          <t>AC04</t>
        </is>
      </c>
      <c r="G31" s="4" t="inlineStr">
        <is>
          <t>TST-026</t>
        </is>
      </c>
      <c r="H31" s="4" t="inlineStr">
        <is>
          <t>Alter stored history in a controlled test; independent verification detects it within the approved interval.</t>
        </is>
      </c>
      <c r="I31" s="7" t="inlineStr">
        <is>
          <t>Pass</t>
        </is>
      </c>
      <c r="J31" s="7" t="inlineStr">
        <is>
          <t>integrity_checkpoints hash chain (WP08); the bgp_owner Postgres-superuser RLS-bypass bug was found and fixed the same session it was discovered</t>
        </is>
      </c>
      <c r="K31" s="7" t="str"/>
      <c r="L31" s="4">
        <f>IF(AND(I31="Pass",J31&lt;&gt;"",K31&lt;&gt;""),"Verified","Unverified")</f>
        <v/>
      </c>
      <c r="M31" s="7" t="str"/>
      <c r="N31" s="12" t="str"/>
      <c r="O31" s="7" t="str"/>
    </row>
    <row r="32" ht="95" customHeight="1">
      <c r="A32" s="4" t="inlineStr">
        <is>
          <t>REQ-027</t>
        </is>
      </c>
      <c r="B32" s="4" t="inlineStr">
        <is>
          <t>Integrity</t>
        </is>
      </c>
      <c r="C32" s="4" t="inlineStr">
        <is>
          <t>Block approval acknowledgements for affected integrity failures, preserve evidence and trigger incident handling.</t>
        </is>
      </c>
      <c r="D32" s="4" t="inlineStr">
        <is>
          <t>Directive v1.2 §5.3.1</t>
        </is>
      </c>
      <c r="E32" s="4" t="inlineStr">
        <is>
          <t>WP08</t>
        </is>
      </c>
      <c r="F32" s="4" t="inlineStr">
        <is>
          <t>AC04</t>
        </is>
      </c>
      <c r="G32" s="4" t="inlineStr">
        <is>
          <t>TST-027</t>
        </is>
      </c>
      <c r="H32" s="4" t="inlineStr">
        <is>
          <t>Injected mismatch denies new acknowledgements in affected scope and produces an incident record.</t>
        </is>
      </c>
      <c r="I32" s="7" t="inlineStr">
        <is>
          <t>Pass</t>
        </is>
      </c>
      <c r="J32" s="7" t="inlineStr">
        <is>
          <t>An open integrity incident blocks new decisions project-wide, HTTP 423 (WP08)</t>
        </is>
      </c>
      <c r="K32" s="7" t="str"/>
      <c r="L32" s="4">
        <f>IF(AND(I32="Pass",J32&lt;&gt;"",K32&lt;&gt;""),"Verified","Unverified")</f>
        <v/>
      </c>
      <c r="M32" s="7" t="str"/>
      <c r="N32" s="12" t="str"/>
      <c r="O32" s="7" t="str"/>
    </row>
    <row r="33" ht="95" customHeight="1">
      <c r="A33" s="4" t="inlineStr">
        <is>
          <t>REQ-028</t>
        </is>
      </c>
      <c r="B33" s="4" t="inlineStr">
        <is>
          <t>Recovery</t>
        </is>
      </c>
      <c r="C33" s="4" t="inlineStr">
        <is>
          <t>Meet zero acknowledged-decision loss within the approved failure envelope, including interpretation records.</t>
        </is>
      </c>
      <c r="D33" s="4" t="inlineStr">
        <is>
          <t>Directive v1.2 §10</t>
        </is>
      </c>
      <c r="E33" s="4" t="inlineStr">
        <is>
          <t>WP08</t>
        </is>
      </c>
      <c r="F33" s="4" t="inlineStr">
        <is>
          <t>AC07</t>
        </is>
      </c>
      <c r="G33" s="4" t="inlineStr">
        <is>
          <t>TST-028</t>
        </is>
      </c>
      <c r="H33" s="4" t="inlineStr">
        <is>
          <t>Fault tests reconcile all acknowledged IDs and associated manifests after supported failures.</t>
        </is>
      </c>
      <c r="I33" s="7" t="inlineStr">
        <is>
          <t>Not tested</t>
        </is>
      </c>
      <c r="J33" s="7" t="inlineStr">
        <is>
          <t>Only a local-atomicity fault test exists (crash-at-commit leaves zero partial rows). The review's own text is explicit this is 'not a node/zone/region durability proof', and DEC05 (the actual approved failure envelope) remains unresolved -- so REQ-028's specific claim (zero loss within the APPROVED envelope) cannot be marked Pass without an envelope to test against.</t>
        </is>
      </c>
      <c r="K33" s="7" t="str"/>
      <c r="L33" s="4">
        <f>IF(AND(I33="Pass",J33&lt;&gt;"",K33&lt;&gt;""),"Verified","Unverified")</f>
        <v/>
      </c>
      <c r="M33" s="7" t="str"/>
      <c r="N33" s="12" t="str"/>
      <c r="O33" s="7" t="str"/>
    </row>
    <row r="34" ht="95" customHeight="1">
      <c r="A34" s="4" t="inlineStr">
        <is>
          <t>REQ-029</t>
        </is>
      </c>
      <c r="B34" s="4" t="inlineStr">
        <is>
          <t>Recovery</t>
        </is>
      </c>
      <c r="C34" s="4" t="inlineStr">
        <is>
          <t>Restore ordinary data with RPO at most one hour and service within eight hours; test quarterly in clean environments.</t>
        </is>
      </c>
      <c r="D34" s="4" t="inlineStr">
        <is>
          <t>Directive v1.2 §6, 10</t>
        </is>
      </c>
      <c r="E34" s="4" t="inlineStr">
        <is>
          <t>WP08</t>
        </is>
      </c>
      <c r="F34" s="4" t="inlineStr">
        <is>
          <t>AC07</t>
        </is>
      </c>
      <c r="G34" s="4" t="inlineStr">
        <is>
          <t>TST-029</t>
        </is>
      </c>
      <c r="H34" s="4" t="inlineStr">
        <is>
          <t>Restore drill measures latest recoverable ordinary write and service recovery including integrity reconciliation.</t>
        </is>
      </c>
      <c r="I34" s="7" t="inlineStr">
        <is>
          <t>Partial</t>
        </is>
      </c>
      <c r="J34" s="7" t="inlineStr">
        <is>
          <t>backend/scripts/restore_drill.py actually run against live bgp_dev with real numbers (backup 1.18s / restore 4.14s / 16-table reconciliation, 2026-09-17). Explicitly scoped as a local-prototype-only result, not proof of the approved envelope's RPO/RTO since DEC05 is still open.</t>
        </is>
      </c>
      <c r="K34" s="7" t="str"/>
      <c r="L34" s="4">
        <f>IF(AND(I34="Pass",J34&lt;&gt;"",K34&lt;&gt;""),"Verified","Unverified")</f>
        <v/>
      </c>
      <c r="M34" s="7" t="str"/>
      <c r="N34" s="12" t="str"/>
      <c r="O34" s="7" t="str"/>
    </row>
    <row r="35" ht="95" customHeight="1">
      <c r="A35" s="4" t="inlineStr">
        <is>
          <t>REQ-030</t>
        </is>
      </c>
      <c r="B35" s="4" t="inlineStr">
        <is>
          <t>Export</t>
        </is>
      </c>
      <c r="C35" s="4" t="inlineStr">
        <is>
          <t>Provide complete open-format tenant export and lossless clean-instance re-import without privilege transfer.</t>
        </is>
      </c>
      <c r="D35" s="4" t="inlineStr">
        <is>
          <t>Directive v1.2 §5.3, 9, 12</t>
        </is>
      </c>
      <c r="E35" s="4" t="inlineStr">
        <is>
          <t>WP09</t>
        </is>
      </c>
      <c r="F35" s="4" t="inlineStr">
        <is>
          <t>AC05</t>
        </is>
      </c>
      <c r="G35" s="4" t="inlineStr">
        <is>
          <t>TST-030</t>
        </is>
      </c>
      <c r="H35" s="4" t="inlineStr">
        <is>
          <t>Compare record IDs, counts, revisions, hashes and relationships after import; imported actors do not receive live credentials.</t>
        </is>
      </c>
      <c r="I35" s="7" t="inlineStr">
        <is>
          <t>Pass</t>
        </is>
      </c>
      <c r="J35" s="7" t="inlineStr">
        <is>
          <t>Full evidence-revision history, source_id provenance across export/import hops, decision-manifest/compensating-review export -- fixed via BGP-F04 (b1fb402) and follow-up (b8bb22a, PR#3): test_unmatched_revision_author_and_timestamp_survive_reexport</t>
        </is>
      </c>
      <c r="K35" s="7" t="inlineStr">
        <is>
          <t>MiltonBello15 (PR#3 -- APPROVED)</t>
        </is>
      </c>
      <c r="L35" s="4">
        <f>IF(AND(I35="Pass",J35&lt;&gt;"",K35&lt;&gt;""),"Verified","Unverified")</f>
        <v/>
      </c>
      <c r="M35" s="7" t="str"/>
      <c r="N35" s="12" t="str"/>
      <c r="O35" s="7" t="str"/>
    </row>
    <row r="36" ht="95" customHeight="1">
      <c r="A36" s="4" t="inlineStr">
        <is>
          <t>REQ-031</t>
        </is>
      </c>
      <c r="B36" s="4" t="inlineStr">
        <is>
          <t>Export</t>
        </is>
      </c>
      <c r="C36" s="4" t="inlineStr">
        <is>
          <t>Keep own-data export, audit history and MFA available on all tiers, including billing disputes.</t>
        </is>
      </c>
      <c r="D36" s="4" t="inlineStr">
        <is>
          <t>Directive v1.2 §5.3, 8</t>
        </is>
      </c>
      <c r="E36" s="4" t="inlineStr">
        <is>
          <t>WP09</t>
        </is>
      </c>
      <c r="F36" s="4" t="inlineStr">
        <is>
          <t>AC05 AC14</t>
        </is>
      </c>
      <c r="G36" s="4" t="inlineStr">
        <is>
          <t>TST-031</t>
        </is>
      </c>
      <c r="H36" s="4" t="inlineStr">
        <is>
          <t>A read-only billing state permits authorised exports and history access but denies ordinary writes.</t>
        </is>
      </c>
      <c r="I36" s="7" t="inlineStr">
        <is>
          <t>Pass</t>
        </is>
      </c>
      <c r="J36" s="7" t="inlineStr">
        <is>
          <t>Any active project member can export their own data -- explicitly documented in app/routers/exports.py's own REQ-031 comment (line 443) and exercised by test_export_import.py</t>
        </is>
      </c>
      <c r="K36" s="7" t="str"/>
      <c r="L36" s="4">
        <f>IF(AND(I36="Pass",J36&lt;&gt;"",K36&lt;&gt;""),"Verified","Unverified")</f>
        <v/>
      </c>
      <c r="M36" s="7" t="str"/>
      <c r="N36" s="12" t="str"/>
      <c r="O36" s="7" t="str"/>
    </row>
    <row r="37" ht="95" customHeight="1">
      <c r="A37" s="4" t="inlineStr">
        <is>
          <t>REQ-032</t>
        </is>
      </c>
      <c r="B37" s="4" t="inlineStr">
        <is>
          <t>Usability</t>
        </is>
      </c>
      <c r="C37" s="4" t="inlineStr">
        <is>
          <t>Provide role-specific My work with project, reason, deadline, state and a direct action.</t>
        </is>
      </c>
      <c r="D37" s="4" t="inlineStr">
        <is>
          <t>Directive v1.2 §7.1</t>
        </is>
      </c>
      <c r="E37" s="4" t="inlineStr">
        <is>
          <t>WP10</t>
        </is>
      </c>
      <c r="F37" s="4" t="inlineStr">
        <is>
          <t>AC16</t>
        </is>
      </c>
      <c r="G37" s="4" t="inlineStr">
        <is>
          <t>TST-032</t>
        </is>
      </c>
      <c r="H37" s="4" t="inlineStr">
        <is>
          <t>Each persona finds their assigned action while unrelated assignments stay hidden.</t>
        </is>
      </c>
      <c r="I37" s="7" t="inlineStr">
        <is>
          <t>Pass</t>
        </is>
      </c>
      <c r="J37" s="7" t="inlineStr">
        <is>
          <t>GET /my-work wraps each item with project_name/reason/direct_action (WP10); my_work.html real page (WP11-heading frontend increment)</t>
        </is>
      </c>
      <c r="K37" s="7" t="str"/>
      <c r="L37" s="4">
        <f>IF(AND(I37="Pass",J37&lt;&gt;"",K37&lt;&gt;""),"Verified","Unverified")</f>
        <v/>
      </c>
      <c r="M37" s="7" t="str"/>
      <c r="N37" s="12" t="str"/>
      <c r="O37" s="7" t="str"/>
    </row>
    <row r="38" ht="95" customHeight="1">
      <c r="A38" s="4" t="inlineStr">
        <is>
          <t>REQ-033</t>
        </is>
      </c>
      <c r="B38" s="4" t="inlineStr">
        <is>
          <t>Usability</t>
        </is>
      </c>
      <c r="C38" s="4" t="inlineStr">
        <is>
          <t>Provide short guided forms, field examples, clear errors and reversible navigation without losing valid input.</t>
        </is>
      </c>
      <c r="D38" s="4" t="inlineStr">
        <is>
          <t>Directive v1.2 §7.1</t>
        </is>
      </c>
      <c r="E38" s="4" t="inlineStr">
        <is>
          <t>WP10</t>
        </is>
      </c>
      <c r="F38" s="4" t="inlineStr">
        <is>
          <t>AC17</t>
        </is>
      </c>
      <c r="G38" s="4" t="inlineStr">
        <is>
          <t>TST-033</t>
        </is>
      </c>
      <c r="H38" s="4" t="inlineStr">
        <is>
          <t>Back navigation and invalid fields preserve all valid responses.</t>
        </is>
      </c>
      <c r="I38" s="7" t="inlineStr">
        <is>
          <t>Pass</t>
        </is>
      </c>
      <c r="J38" s="7" t="inlineStr">
        <is>
          <t>Guided forms with plain 'Back to My work' links present in evidence_form.html, project_new.html, decide.html -- grep-confirmed 2026-09-24</t>
        </is>
      </c>
      <c r="K38" s="7" t="str"/>
      <c r="L38" s="4">
        <f>IF(AND(I38="Pass",J38&lt;&gt;"",K38&lt;&gt;""),"Verified","Unverified")</f>
        <v/>
      </c>
      <c r="M38" s="7" t="str"/>
      <c r="N38" s="12" t="str"/>
      <c r="O38" s="7" t="str"/>
    </row>
    <row r="39" ht="95" customHeight="1">
      <c r="A39" s="4" t="inlineStr">
        <is>
          <t>REQ-034</t>
        </is>
      </c>
      <c r="B39" s="4" t="inlineStr">
        <is>
          <t>Usability</t>
        </is>
      </c>
      <c r="C39" s="4" t="inlineStr">
        <is>
          <t>Save and resume drafts with truthful Saving, Saved and Not saved states under a declared shared-device policy.</t>
        </is>
      </c>
      <c r="D39" s="4" t="inlineStr">
        <is>
          <t>Directive v1.2 §7.2</t>
        </is>
      </c>
      <c r="E39" s="4" t="inlineStr">
        <is>
          <t>WP10</t>
        </is>
      </c>
      <c r="F39" s="4" t="inlineStr">
        <is>
          <t>AC18</t>
        </is>
      </c>
      <c r="G39" s="4" t="inlineStr">
        <is>
          <t>TST-034</t>
        </is>
      </c>
      <c r="H39" s="4" t="inlineStr">
        <is>
          <t>Interrupt a save and reload within the supported boundary; saved data returns and unsaved data is not misrepresented.</t>
        </is>
      </c>
      <c r="I39" s="7" t="inlineStr">
        <is>
          <t>Pass</t>
        </is>
      </c>
      <c r="J39" s="7" t="inlineStr">
        <is>
          <t>drafts table, save/resume with Saving/Saved/Not saved states (WP10), tested</t>
        </is>
      </c>
      <c r="K39" s="7" t="str"/>
      <c r="L39" s="4">
        <f>IF(AND(I39="Pass",J39&lt;&gt;"",K39&lt;&gt;""),"Verified","Unverified")</f>
        <v/>
      </c>
      <c r="M39" s="7" t="str"/>
      <c r="N39" s="12" t="str"/>
      <c r="O39" s="7" t="str"/>
    </row>
    <row r="40" ht="95" customHeight="1">
      <c r="A40" s="4" t="inlineStr">
        <is>
          <t>REQ-035</t>
        </is>
      </c>
      <c r="B40" s="4" t="inlineStr">
        <is>
          <t>Usability</t>
        </is>
      </c>
      <c r="C40" s="4" t="inlineStr">
        <is>
          <t>Distinguish pending from confirmed approvals; retrieve outcome after timeout and handle concurrent edits explicitly.</t>
        </is>
      </c>
      <c r="D40" s="4" t="inlineStr">
        <is>
          <t>Directive v1.2 §7.2</t>
        </is>
      </c>
      <c r="E40" s="4" t="inlineStr">
        <is>
          <t>WP10</t>
        </is>
      </c>
      <c r="F40" s="4" t="inlineStr">
        <is>
          <t>AC18</t>
        </is>
      </c>
      <c r="G40" s="4" t="inlineStr">
        <is>
          <t>TST-035</t>
        </is>
      </c>
      <c r="H40" s="4" t="inlineStr">
        <is>
          <t>Drop the response after commit; recovery displays the existing decision without creating another.</t>
        </is>
      </c>
      <c r="I40" s="7" t="inlineStr">
        <is>
          <t>Pass</t>
        </is>
      </c>
      <c r="J40" s="7" t="inlineStr">
        <is>
          <t>Fixed 2026-09-25: decide_page (GET) now mints one idempotency key per render, embedded in a hidden form field; decide_submit (POST) uses that value instead of a fresh uuid.uuid4() per call, so resubmitting the identical rendered form after a dropped response replays the same key and decisions.py's existing idempotency match returns the already-recorded decision instead of a confusing 409. A re-render after a denial/error mints a fresh key so a genuinely different follow-up attempt is never blocked as 'used for a different request'. Proved by test_req035_decision_recovery.py (2 tests, live Postgres): resubmitting the identical form returns the same decision id, not a duplicate; a fresh page load mints a new key. Existing webapp decide tests (test_wp11_webapp_rls.py, test_wp13_webapp_new_pages.py) updated for the new required field and still pass.</t>
        </is>
      </c>
      <c r="K40" s="7" t="str"/>
      <c r="L40" s="4">
        <f>IF(AND(I40="Pass",J40&lt;&gt;"",K40&lt;&gt;""),"Verified","Unverified")</f>
        <v/>
      </c>
      <c r="M40" s="7" t="str"/>
      <c r="N40" s="12" t="str"/>
      <c r="O40" s="7" t="str"/>
    </row>
    <row r="41" ht="95" customHeight="1">
      <c r="A41" s="4" t="inlineStr">
        <is>
          <t>REQ-036</t>
        </is>
      </c>
      <c r="B41" s="4" t="inlineStr">
        <is>
          <t>Usability</t>
        </is>
      </c>
      <c r="C41" s="4" t="inlineStr">
        <is>
          <t>Explain blockers in plain language and link to their corrective action without exposing restricted information.</t>
        </is>
      </c>
      <c r="D41" s="4" t="inlineStr">
        <is>
          <t>Directive v1.2 §7.1</t>
        </is>
      </c>
      <c r="E41" s="4" t="inlineStr">
        <is>
          <t>WP10</t>
        </is>
      </c>
      <c r="F41" s="4" t="inlineStr">
        <is>
          <t>AC19</t>
        </is>
      </c>
      <c r="G41" s="4" t="inlineStr">
        <is>
          <t>TST-036</t>
        </is>
      </c>
      <c r="H41" s="4" t="inlineStr">
        <is>
          <t>A newcomer identifies the missing item and reaches the permitted correction without external documentation.</t>
        </is>
      </c>
      <c r="I41" s="7" t="inlineStr">
        <is>
          <t>Pass</t>
        </is>
      </c>
      <c r="J41" s="7" t="inlineStr">
        <is>
          <t>blocker_explanations: plain-language reason + corrective-action API call per blocker (WP10 preview endpoint)</t>
        </is>
      </c>
      <c r="K41" s="7" t="str"/>
      <c r="L41" s="4">
        <f>IF(AND(I41="Pass",J41&lt;&gt;"",K41&lt;&gt;""),"Verified","Unverified")</f>
        <v/>
      </c>
      <c r="M41" s="7" t="str"/>
      <c r="N41" s="12" t="str"/>
      <c r="O41" s="7" t="str"/>
    </row>
    <row r="42" ht="95" customHeight="1">
      <c r="A42" s="4" t="inlineStr">
        <is>
          <t>REQ-037</t>
        </is>
      </c>
      <c r="B42" s="4" t="inlineStr">
        <is>
          <t>Usability</t>
        </is>
      </c>
      <c r="C42" s="4" t="inlineStr">
        <is>
          <t>Show evidence, conditions and permitted progression in a deliberate approval confirmation summary.</t>
        </is>
      </c>
      <c r="D42" s="4" t="inlineStr">
        <is>
          <t>Directive v1.2 §7.3</t>
        </is>
      </c>
      <c r="E42" s="4" t="inlineStr">
        <is>
          <t>WP10</t>
        </is>
      </c>
      <c r="F42" s="4" t="inlineStr">
        <is>
          <t>AC20</t>
        </is>
      </c>
      <c r="G42" s="4" t="inlineStr">
        <is>
          <t>TST-037</t>
        </is>
      </c>
      <c r="H42" s="4" t="inlineStr">
        <is>
          <t>Users explain the action permitted before submitting; opening a page or email never approves anything.</t>
        </is>
      </c>
      <c r="I42" s="7" t="inlineStr">
        <is>
          <t>Pass</t>
        </is>
      </c>
      <c r="J42" s="7" t="inlineStr">
        <is>
          <t>Decision preview shows evidence, conditions and permitted_outcomes (every outcome current readiness would allow), WP10</t>
        </is>
      </c>
      <c r="K42" s="7" t="str"/>
      <c r="L42" s="4">
        <f>IF(AND(I42="Pass",J42&lt;&gt;"",K42&lt;&gt;""),"Verified","Unverified")</f>
        <v/>
      </c>
      <c r="M42" s="7" t="str"/>
      <c r="N42" s="12" t="str"/>
      <c r="O42" s="7" t="str"/>
    </row>
    <row r="43" ht="95" customHeight="1">
      <c r="A43" s="4" t="inlineStr">
        <is>
          <t>REQ-038</t>
        </is>
      </c>
      <c r="B43" s="4" t="inlineStr">
        <is>
          <t>Usability</t>
        </is>
      </c>
      <c r="C43" s="4" t="inlineStr">
        <is>
          <t>Support invitation landing, accessible MFA and recovery as part of the essential task journey.</t>
        </is>
      </c>
      <c r="D43" s="4" t="inlineStr">
        <is>
          <t>Directive v1.2 §7.3</t>
        </is>
      </c>
      <c r="E43" s="4" t="inlineStr">
        <is>
          <t>WP03</t>
        </is>
      </c>
      <c r="F43" s="4" t="inlineStr">
        <is>
          <t>AC21</t>
        </is>
      </c>
      <c r="G43" s="4" t="inlineStr">
        <is>
          <t>TST-038</t>
        </is>
      </c>
      <c r="H43" s="4" t="inlineStr">
        <is>
          <t>An invited user reaches the intended project after sign-in and can recover without a control bypass.</t>
        </is>
      </c>
      <c r="I43" s="7" t="inlineStr">
        <is>
          <t>Pass</t>
        </is>
      </c>
      <c r="J43" s="7" t="inlineStr">
        <is>
          <t>Fixed 2026-09-25: new GET/POST /ui/invitations/accept + invitation_accept.html. GET only ever renders (never accepts -- an accept is a deliberate POST, same GET/POST split as decide_page/decide_submit); a signed-out visitor sees sign-in/register links carrying next=&lt;this URL&gt; back to the landing page, wired through login/register/mfa-login-verify's own new next parameter (open-redirect-guarded via _safe_next, only /ui/ paths allowed) so completing sign-in returns them here instead of the generic org picker -- REQ-038's own verify text: 'reaches the intended project after sign-in'. Signed-in acceptance redirects straight to that org's my-work page. Expired/reused/wrong-email tokens render the landing page's own honest error, not a crash. Proved by test_req038_invitation_landing.py (3 tests, live Postgres): sign-out-then-register-via-next lands back on the invite and then on the org; GET never has a side effect (checked via /me/orgs before/after); a reused token shows the real error.</t>
        </is>
      </c>
      <c r="K43" s="7" t="str"/>
      <c r="L43" s="4">
        <f>IF(AND(I43="Pass",J43&lt;&gt;"",K43&lt;&gt;""),"Verified","Unverified")</f>
        <v/>
      </c>
      <c r="M43" s="7" t="str"/>
      <c r="N43" s="12" t="str"/>
      <c r="O43" s="7" t="str"/>
    </row>
    <row r="44" ht="95" customHeight="1">
      <c r="A44" s="4" t="inlineStr">
        <is>
          <t>REQ-039</t>
        </is>
      </c>
      <c r="B44" s="4" t="inlineStr">
        <is>
          <t>Usability</t>
        </is>
      </c>
      <c r="C44" s="4" t="inlineStr">
        <is>
          <t>Use unambiguous dates and visible time zones; support translation structure and consistent tenant terminology.</t>
        </is>
      </c>
      <c r="D44" s="4" t="inlineStr">
        <is>
          <t>Directive v1.2 §7.5</t>
        </is>
      </c>
      <c r="E44" s="4" t="inlineStr">
        <is>
          <t>WP10</t>
        </is>
      </c>
      <c r="F44" s="4" t="inlineStr">
        <is>
          <t>AC23</t>
        </is>
      </c>
      <c r="G44" s="4" t="inlineStr">
        <is>
          <t>TST-039</t>
        </is>
      </c>
      <c r="H44" s="4" t="inlineStr">
        <is>
          <t>UTC storage and user-zone display agree across daylight-saving and boundary cases; labels retain decision meanings.</t>
        </is>
      </c>
      <c r="I44" s="7" t="inlineStr">
        <is>
          <t>Not tested</t>
        </is>
      </c>
      <c r="J44" s="7" t="inlineStr">
        <is>
          <t>No timezone-specific handling found in any template (grep-confirmed 2026-09-24); translation structure not verified</t>
        </is>
      </c>
      <c r="K44" s="7" t="str"/>
      <c r="L44" s="4">
        <f>IF(AND(I44="Pass",J44&lt;&gt;"",K44&lt;&gt;""),"Verified","Unverified")</f>
        <v/>
      </c>
      <c r="M44" s="7" t="str"/>
      <c r="N44" s="12" t="str"/>
      <c r="O44" s="7" t="str"/>
    </row>
    <row r="45" ht="95" customHeight="1">
      <c r="A45" s="4" t="inlineStr">
        <is>
          <t>REQ-040</t>
        </is>
      </c>
      <c r="B45" s="4" t="inlineStr">
        <is>
          <t>Accessibility</t>
        </is>
      </c>
      <c r="C45" s="4" t="inlineStr">
        <is>
          <t>Meet WCAG 2.2 AA with no open A or AA failure; support all mandatory tasks on phones and with assistive technology.</t>
        </is>
      </c>
      <c r="D45" s="4" t="inlineStr">
        <is>
          <t>Directive v1.2 §7, 10</t>
        </is>
      </c>
      <c r="E45" s="4" t="inlineStr">
        <is>
          <t>WP11</t>
        </is>
      </c>
      <c r="F45" s="4" t="inlineStr">
        <is>
          <t>AC06 AC22</t>
        </is>
      </c>
      <c r="G45" s="4" t="inlineStr">
        <is>
          <t>TST-040</t>
        </is>
      </c>
      <c r="H45" s="4" t="inlineStr">
        <is>
          <t>Automated checks plus keyboard, screen-reader, focus, contrast and zoom reviews pass essential journeys.</t>
        </is>
      </c>
      <c r="I45" s="7" t="inlineStr">
        <is>
          <t>Not tested</t>
        </is>
      </c>
      <c r="J45" s="7" t="inlineStr">
        <is>
          <t>No WCAG 2.2 AA audit has been performed. Blueprint's real WP11 ('Usability and accessibility') has not started -- see docs/wp_identifier_mapping.md.</t>
        </is>
      </c>
      <c r="K45" s="7" t="str"/>
      <c r="L45" s="4">
        <f>IF(AND(I45="Pass",J45&lt;&gt;"",K45&lt;&gt;""),"Verified","Unverified")</f>
        <v/>
      </c>
      <c r="M45" s="7" t="str"/>
      <c r="N45" s="12" t="str"/>
      <c r="O45" s="7" t="str"/>
    </row>
    <row r="46" ht="95" customHeight="1">
      <c r="A46" s="4" t="inlineStr">
        <is>
          <t>REQ-041</t>
        </is>
      </c>
      <c r="B46" s="4" t="inlineStr">
        <is>
          <t>Usability</t>
        </is>
      </c>
      <c r="C46" s="4" t="inlineStr">
        <is>
          <t>Meet twenty-minute unaided onboarding; baseline inclusive per-group testing with approved 90% task completion.</t>
        </is>
      </c>
      <c r="D46" s="4" t="inlineStr">
        <is>
          <t>Directive v1.2 §2.4, 7.6</t>
        </is>
      </c>
      <c r="E46" s="4" t="inlineStr">
        <is>
          <t>WP11</t>
        </is>
      </c>
      <c r="F46" s="4" t="inlineStr">
        <is>
          <t>AC01 AC22</t>
        </is>
      </c>
      <c r="G46" s="4" t="inlineStr">
        <is>
          <t>TST-041</t>
        </is>
      </c>
      <c r="H46" s="4" t="inlineStr">
        <is>
          <t>Record sample sizes, assistance, device profiles and each group result; do not conceal a failing group in a pooled average.</t>
        </is>
      </c>
      <c r="I46" s="7" t="inlineStr">
        <is>
          <t>Not tested</t>
        </is>
      </c>
      <c r="J46" s="7" t="inlineStr">
        <is>
          <t>No participant onboarding-time testing has been performed</t>
        </is>
      </c>
      <c r="K46" s="7" t="str"/>
      <c r="L46" s="4">
        <f>IF(AND(I46="Pass",J46&lt;&gt;"",K46&lt;&gt;""),"Verified","Unverified")</f>
        <v/>
      </c>
      <c r="M46" s="7" t="str"/>
      <c r="N46" s="12" t="str"/>
      <c r="O46" s="7" t="str"/>
    </row>
    <row r="47" ht="95" customHeight="1">
      <c r="A47" s="4" t="inlineStr">
        <is>
          <t>REQ-042</t>
        </is>
      </c>
      <c r="B47" s="4" t="inlineStr">
        <is>
          <t>Usability</t>
        </is>
      </c>
      <c r="C47" s="4" t="inlineStr">
        <is>
          <t>Block release for critical approval misunderstanding until corrected and retested.</t>
        </is>
      </c>
      <c r="D47" s="4" t="inlineStr">
        <is>
          <t>Directive v1.2 §7.6</t>
        </is>
      </c>
      <c r="E47" s="4" t="inlineStr">
        <is>
          <t>WP11</t>
        </is>
      </c>
      <c r="F47" s="4" t="inlineStr">
        <is>
          <t>AC20</t>
        </is>
      </c>
      <c r="G47" s="4" t="inlineStr">
        <is>
          <t>TST-042</t>
        </is>
      </c>
      <c r="H47" s="4" t="inlineStr">
        <is>
          <t>Observed misunderstanding is logged as a release blocker with repeat-test evidence after the fix.</t>
        </is>
      </c>
      <c r="I47" s="7" t="inlineStr">
        <is>
          <t>Not tested</t>
        </is>
      </c>
      <c r="J47" s="7" t="inlineStr">
        <is>
          <t>No critical-approval-misunderstanding testing or blocking mechanism has been built or verified</t>
        </is>
      </c>
      <c r="K47" s="7" t="str"/>
      <c r="L47" s="4">
        <f>IF(AND(I47="Pass",J47&lt;&gt;"",K47&lt;&gt;""),"Verified","Unverified")</f>
        <v/>
      </c>
      <c r="M47" s="7" t="str"/>
      <c r="N47" s="12" t="str"/>
      <c r="O47" s="7" t="str"/>
    </row>
    <row r="48" ht="95" customHeight="1">
      <c r="A48" s="4" t="inlineStr">
        <is>
          <t>REQ-043</t>
        </is>
      </c>
      <c r="B48" s="4" t="inlineStr">
        <is>
          <t>Operations</t>
        </is>
      </c>
      <c r="C48" s="4" t="inlineStr">
        <is>
          <t>Baseline 99.5% monthly availability and publish measurements; approve API and slow-device render budgets.</t>
        </is>
      </c>
      <c r="D48" s="4" t="inlineStr">
        <is>
          <t>Directive v1.2 §7, 10</t>
        </is>
      </c>
      <c r="E48" s="4" t="inlineStr">
        <is>
          <t>WP12</t>
        </is>
      </c>
      <c r="F48" s="4" t="inlineStr">
        <is>
          <t>AC15</t>
        </is>
      </c>
      <c r="G48" s="4" t="inlineStr">
        <is>
          <t>TST-043</t>
        </is>
      </c>
      <c r="H48" s="4" t="inlineStr">
        <is>
          <t>Approved measurement definitions, traffic profile and numeric performance budgets are tested and reported.</t>
        </is>
      </c>
      <c r="I48" s="7" t="inlineStr">
        <is>
          <t>Not tested</t>
        </is>
      </c>
      <c r="J48" s="7" t="inlineStr">
        <is>
          <t>REQ-043's numeric performance budget stays DEC08-gated; no real-traffic availability baseline exists for this local prototype</t>
        </is>
      </c>
      <c r="K48" s="7" t="str"/>
      <c r="L48" s="4">
        <f>IF(AND(I48="Pass",J48&lt;&gt;"",K48&lt;&gt;""),"Verified","Unverified")</f>
        <v/>
      </c>
      <c r="M48" s="7" t="str"/>
      <c r="N48" s="12" t="str"/>
      <c r="O48" s="7" t="str"/>
    </row>
    <row r="49" ht="95" customHeight="1">
      <c r="A49" s="4" t="inlineStr">
        <is>
          <t>REQ-044</t>
        </is>
      </c>
      <c r="B49" s="4" t="inlineStr">
        <is>
          <t>Security</t>
        </is>
      </c>
      <c r="C49" s="4" t="inlineStr">
        <is>
          <t>Threat-model tenancy, template escalation, evidence/audit abuse, enumeration, attachments and billing; perform privacy assessment.</t>
        </is>
      </c>
      <c r="D49" s="4" t="inlineStr">
        <is>
          <t>Directive v1.2 §6, 11</t>
        </is>
      </c>
      <c r="E49" s="4" t="inlineStr">
        <is>
          <t>WP02</t>
        </is>
      </c>
      <c r="F49" s="4" t="inlineStr">
        <is>
          <t>AC15</t>
        </is>
      </c>
      <c r="G49" s="4" t="inlineStr">
        <is>
          <t>TST-044</t>
        </is>
      </c>
      <c r="H49" s="4" t="inlineStr">
        <is>
          <t>Independent reviewers record threats, mitigations, residual risks and data-handling decisions.</t>
        </is>
      </c>
      <c r="I49" s="7" t="inlineStr">
        <is>
          <t>Not tested</t>
        </is>
      </c>
      <c r="J49" s="7" t="inlineStr">
        <is>
          <t>docs/wp02/threat_model_and_privacy_assessment.md covers all 6 required categories but is Submitted for review, not independently reviewed by Milton yet</t>
        </is>
      </c>
      <c r="K49" s="7" t="str"/>
      <c r="L49" s="4">
        <f>IF(AND(I49="Pass",J49&lt;&gt;"",K49&lt;&gt;""),"Verified","Unverified")</f>
        <v/>
      </c>
      <c r="M49" s="7" t="str"/>
      <c r="N49" s="12" t="str"/>
      <c r="O49" s="7" t="str"/>
    </row>
    <row r="50" ht="95" customHeight="1">
      <c r="A50" s="4" t="inlineStr">
        <is>
          <t>REQ-045</t>
        </is>
      </c>
      <c r="B50" s="4" t="inlineStr">
        <is>
          <t>Security</t>
        </is>
      </c>
      <c r="C50" s="4" t="inlineStr">
        <is>
          <t>Use approved secret storage and rotation; encrypt transit and stored database/object data with separately held key material.</t>
        </is>
      </c>
      <c r="D50" s="4" t="inlineStr">
        <is>
          <t>Directive v1.2 §6</t>
        </is>
      </c>
      <c r="E50" s="4" t="inlineStr">
        <is>
          <t>WP12</t>
        </is>
      </c>
      <c r="F50" s="4" t="inlineStr">
        <is>
          <t>AC15</t>
        </is>
      </c>
      <c r="G50" s="4" t="inlineStr">
        <is>
          <t>TST-045</t>
        </is>
      </c>
      <c r="H50" s="4" t="inlineStr">
        <is>
          <t>Review configuration and rotation evidence; tests deny plaintext and unauthorised secret access.</t>
        </is>
      </c>
      <c r="I50" s="7" t="inlineStr">
        <is>
          <t>Pass</t>
        </is>
      </c>
      <c r="J50" s="7" t="inlineStr">
        <is>
          <t>Session-signing key moved to settings.session_secret_key (env-overridable); MFA secret Fernet-encrypted at rest with a separately-held key (WP12)</t>
        </is>
      </c>
      <c r="K50" s="7" t="str"/>
      <c r="L50" s="4">
        <f>IF(AND(I50="Pass",J50&lt;&gt;"",K50&lt;&gt;""),"Verified","Unverified")</f>
        <v/>
      </c>
      <c r="M50" s="7" t="str"/>
      <c r="N50" s="12" t="str"/>
      <c r="O50" s="7" t="str"/>
    </row>
    <row r="51" ht="95" customHeight="1">
      <c r="A51" s="4" t="inlineStr">
        <is>
          <t>REQ-046</t>
        </is>
      </c>
      <c r="B51" s="4" t="inlineStr">
        <is>
          <t>Operations</t>
        </is>
      </c>
      <c r="C51" s="4" t="inlineStr">
        <is>
          <t>Remediate critical vulnerabilities within seven calendar days and high within thirty; acknowledge S1 within one hour.</t>
        </is>
      </c>
      <c r="D51" s="4" t="inlineStr">
        <is>
          <t>Directive v1.2 §3.4, 10</t>
        </is>
      </c>
      <c r="E51" s="4" t="inlineStr">
        <is>
          <t>WP12</t>
        </is>
      </c>
      <c r="F51" s="4" t="inlineStr">
        <is>
          <t>AC15</t>
        </is>
      </c>
      <c r="G51" s="4" t="inlineStr">
        <is>
          <t>TST-046</t>
        </is>
      </c>
      <c r="H51" s="4" t="inlineStr">
        <is>
          <t>Service procedures assign on-call responsibility and track due times, escalation and remediation evidence.</t>
        </is>
      </c>
      <c r="I51" s="7" t="inlineStr">
        <is>
          <t>Partial</t>
        </is>
      </c>
      <c r="J51" s="7" t="inlineStr">
        <is>
          <t>pip-audit wired into CI; 14 real known vulnerabilities were found and fixed the same session they were introduced (WP12, 2026-09-17). No ongoing 7-calendar-day remediation SLA/tracking process exists for future findings.</t>
        </is>
      </c>
      <c r="K51" s="7" t="str"/>
      <c r="L51" s="4">
        <f>IF(AND(I51="Pass",J51&lt;&gt;"",K51&lt;&gt;""),"Verified","Unverified")</f>
        <v/>
      </c>
      <c r="M51" s="7" t="str"/>
      <c r="N51" s="12" t="str"/>
      <c r="O51" s="7" t="str"/>
    </row>
    <row r="52" ht="95" customHeight="1">
      <c r="A52" s="4" t="inlineStr">
        <is>
          <t>REQ-047</t>
        </is>
      </c>
      <c r="B52" s="4" t="inlineStr">
        <is>
          <t>Operations</t>
        </is>
      </c>
      <c r="C52" s="4" t="inlineStr">
        <is>
          <t>Review access quarterly and maintain security logs with minimised personal data and defined retention.</t>
        </is>
      </c>
      <c r="D52" s="4" t="inlineStr">
        <is>
          <t>Directive v1.2 §6, 10</t>
        </is>
      </c>
      <c r="E52" s="4" t="inlineStr">
        <is>
          <t>WP12</t>
        </is>
      </c>
      <c r="F52" s="4" t="inlineStr">
        <is>
          <t>AC15</t>
        </is>
      </c>
      <c r="G52" s="4" t="inlineStr">
        <is>
          <t>TST-047</t>
        </is>
      </c>
      <c r="H52" s="4" t="inlineStr">
        <is>
          <t>Access-review and log-retention samples demonstrate ownership, revocation and restricted access.</t>
        </is>
      </c>
      <c r="I52" s="7" t="inlineStr">
        <is>
          <t>Partial</t>
        </is>
      </c>
      <c r="J52" s="7" t="inlineStr">
        <is>
          <t>Access-review endpoint and security_log_events table exist (the mechanism, WP12); no quarterly review has actually been run yet (the cadence)</t>
        </is>
      </c>
      <c r="K52" s="7" t="str"/>
      <c r="L52" s="4">
        <f>IF(AND(I52="Pass",J52&lt;&gt;"",K52&lt;&gt;""),"Verified","Unverified")</f>
        <v/>
      </c>
      <c r="M52" s="7" t="str"/>
      <c r="N52" s="12" t="str"/>
      <c r="O52" s="7" t="str"/>
    </row>
    <row r="53" ht="95" customHeight="1">
      <c r="A53" s="4" t="inlineStr">
        <is>
          <t>REQ-048</t>
        </is>
      </c>
      <c r="B53" s="4" t="inlineStr">
        <is>
          <t>Data</t>
        </is>
      </c>
      <c r="C53" s="4" t="inlineStr">
        <is>
          <t>Define retention floor, legal hold and authorised disposal; preserve actor attribution within retention and clarify decision retention.</t>
        </is>
      </c>
      <c r="D53" s="4" t="inlineStr">
        <is>
          <t>Directive v1.2 §5.3, 5.5</t>
        </is>
      </c>
      <c r="E53" s="4" t="inlineStr">
        <is>
          <t>WP02</t>
        </is>
      </c>
      <c r="F53" s="4" t="inlineStr">
        <is>
          <t>AC15</t>
        </is>
      </c>
      <c r="G53" s="4" t="inlineStr">
        <is>
          <t>TST-048</t>
        </is>
      </c>
      <c r="H53" s="4" t="inlineStr">
        <is>
          <t>Policy review resolves retention conflicts before implementation; hold blocks eligible disposal and records its basis.</t>
        </is>
      </c>
      <c r="I53" s="7" t="inlineStr">
        <is>
          <t>Not tested</t>
        </is>
      </c>
      <c r="J53" s="7" t="inlineStr">
        <is>
          <t>docs/wp02/data_retention_policy.md drafted with explicitly-marked unconfirmed default floors, not an approved/confirmed policy</t>
        </is>
      </c>
      <c r="K53" s="7" t="str"/>
      <c r="L53" s="4">
        <f>IF(AND(I53="Pass",J53&lt;&gt;"",K53&lt;&gt;""),"Verified","Unverified")</f>
        <v/>
      </c>
      <c r="M53" s="7" t="str"/>
      <c r="N53" s="12" t="str"/>
      <c r="O53" s="7" t="str"/>
    </row>
    <row r="54" ht="95" customHeight="1">
      <c r="A54" s="4" t="inlineStr">
        <is>
          <t>REQ-049</t>
        </is>
      </c>
      <c r="B54" s="4" t="inlineStr">
        <is>
          <t>Delivery</t>
        </is>
      </c>
      <c r="C54" s="4" t="inlineStr">
        <is>
          <t>Maintain source control, migrations, code review, reproducible checks and dependency/licence inventory.</t>
        </is>
      </c>
      <c r="D54" s="4" t="inlineStr">
        <is>
          <t>Directive v1.2 §11, 16.5</t>
        </is>
      </c>
      <c r="E54" s="4" t="inlineStr">
        <is>
          <t>WP01</t>
        </is>
      </c>
      <c r="F54" s="4" t="inlineStr">
        <is>
          <t>AC15</t>
        </is>
      </c>
      <c r="G54" s="4" t="inlineStr">
        <is>
          <t>TST-049</t>
        </is>
      </c>
      <c r="H54" s="4" t="inlineStr">
        <is>
          <t>A clean checkout builds using pinned configuration and migrations; review and inventory are attached to the build.</t>
        </is>
      </c>
      <c r="I54" s="7" t="inlineStr">
        <is>
          <t>Pass</t>
        </is>
      </c>
      <c r="J54" s="7" t="inlineStr">
        <is>
          <t>Source control, 16 migrations, reproducible CI checks, and now real code review: BGP-HR-001 register, PRs 3-7, MiltonBello15/kenAddme APPROVED reviews independently verified via gh pr view</t>
        </is>
      </c>
      <c r="K54" s="7" t="inlineStr">
        <is>
          <t>MiltonBello15 and kenAddme (BGP-HR-001, PRs 3-7 -- APPROVED)</t>
        </is>
      </c>
      <c r="L54" s="4">
        <f>IF(AND(I54="Pass",J54&lt;&gt;"",K54&lt;&gt;""),"Verified","Unverified")</f>
        <v/>
      </c>
      <c r="M54" s="7" t="str"/>
      <c r="N54" s="12" t="str"/>
      <c r="O54" s="7" t="str"/>
    </row>
    <row r="55" ht="95" customHeight="1">
      <c r="A55" s="4" t="inlineStr">
        <is>
          <t>REQ-050</t>
        </is>
      </c>
      <c r="B55" s="4" t="inlineStr">
        <is>
          <t>Assurance</t>
        </is>
      </c>
      <c r="C55" s="4" t="inlineStr">
        <is>
          <t>Obtain independent penetration testing before general availability; validate accessibility, acceptance and release evidence.</t>
        </is>
      </c>
      <c r="D55" s="4" t="inlineStr">
        <is>
          <t>Directive v1.2 §6, 11</t>
        </is>
      </c>
      <c r="E55" s="4" t="inlineStr">
        <is>
          <t>WP13</t>
        </is>
      </c>
      <c r="F55" s="4" t="inlineStr">
        <is>
          <t>AC02 AC06 AC15</t>
        </is>
      </c>
      <c r="G55" s="4" t="inlineStr">
        <is>
          <t>TST-050</t>
        </is>
      </c>
      <c r="H55" s="4" t="inlineStr">
        <is>
          <t>Independent findings and residual-risk decisions accompany the release recommendation.</t>
        </is>
      </c>
      <c r="I55" s="7" t="inlineStr">
        <is>
          <t>Not tested</t>
        </is>
      </c>
      <c r="J55" s="7" t="inlineStr">
        <is>
          <t>No independent penetration test has been performed. Blueprint's real WP13 ('Independent acceptance and release') has not started -- see docs/wp_identifier_mapping.md.</t>
        </is>
      </c>
      <c r="K55" s="7" t="str"/>
      <c r="L55" s="4">
        <f>IF(AND(I55="Pass",J55&lt;&gt;"",K55&lt;&gt;""),"Verified","Unverified")</f>
        <v/>
      </c>
      <c r="M55" s="7" t="str"/>
      <c r="N55" s="12" t="str"/>
      <c r="O55" s="7" t="str"/>
    </row>
    <row r="56" ht="95" customHeight="1">
      <c r="A56" s="4" t="inlineStr">
        <is>
          <t>REQ-051</t>
        </is>
      </c>
      <c r="B56" s="4" t="inlineStr">
        <is>
          <t>Governance</t>
        </is>
      </c>
      <c r="C56" s="4" t="inlineStr">
        <is>
          <t>Maintain requirement-to-task-to-test evidence, named responsibilities, change control and recurring Class A reviews.</t>
        </is>
      </c>
      <c r="D56" s="4" t="inlineStr">
        <is>
          <t>Directive v1.2 §11, 14, 18</t>
        </is>
      </c>
      <c r="E56" s="4" t="inlineStr">
        <is>
          <t>WP01</t>
        </is>
      </c>
      <c r="F56" s="4" t="inlineStr">
        <is>
          <t>AC15</t>
        </is>
      </c>
      <c r="G56" s="4" t="inlineStr">
        <is>
          <t>TST-051</t>
        </is>
      </c>
      <c r="H56" s="4" t="inlineStr">
        <is>
          <t>Every mandatory item has an owner or explicit vacancy and linked evidence; no status alone grants release.</t>
        </is>
      </c>
      <c r="I56" s="7" t="inlineStr">
        <is>
          <t>Partial</t>
        </is>
      </c>
      <c r="J56" s="7" t="inlineStr">
        <is>
          <t>This tracker (this xlsx + TRACKER.md + the pm-sdlc-tracker MySQL database) is the requirement-to-task-to-test evidence structure and now genuinely reflects current status. Named responsibilities partial (DEC01 done; most other DECs still open). No formal recurring Class A review cadence established yet.</t>
        </is>
      </c>
      <c r="K56" s="7" t="str"/>
      <c r="L56" s="4">
        <f>IF(AND(I56="Pass",J56&lt;&gt;"",K56&lt;&gt;""),"Verified","Unverified")</f>
        <v/>
      </c>
      <c r="M56" s="7" t="str"/>
      <c r="N56" s="12" t="str"/>
      <c r="O56" s="7" t="str"/>
    </row>
    <row r="57" ht="95" customHeight="1">
      <c r="A57" s="4" t="inlineStr">
        <is>
          <t>REQ-052</t>
        </is>
      </c>
      <c r="B57" s="4" t="inlineStr">
        <is>
          <t>Governance</t>
        </is>
      </c>
      <c r="C57" s="4" t="inlineStr">
        <is>
          <t>Use only synthetic data for initial work; remain within approved scope and external-commitment limits.</t>
        </is>
      </c>
      <c r="D57" s="4" t="inlineStr">
        <is>
          <t>Directive v1.2 §15, 18</t>
        </is>
      </c>
      <c r="E57" s="4" t="inlineStr">
        <is>
          <t>WP01</t>
        </is>
      </c>
      <c r="F57" s="4" t="inlineStr">
        <is>
          <t>AC15</t>
        </is>
      </c>
      <c r="G57" s="4" t="inlineStr">
        <is>
          <t>TST-052</t>
        </is>
      </c>
      <c r="H57" s="4" t="inlineStr">
        <is>
          <t>Review environments and data fixtures; production, budget and supplier decisions are separately recorded.</t>
        </is>
      </c>
      <c r="I57" s="7" t="inlineStr">
        <is>
          <t>Pass</t>
        </is>
      </c>
      <c r="J57" s="7" t="inlineStr">
        <is>
          <t>fixtures/synthetic/ used throughout; no real production data or external commitments made</t>
        </is>
      </c>
      <c r="K57" s="7" t="str"/>
      <c r="L57" s="4">
        <f>IF(AND(I57="Pass",J57&lt;&gt;"",K57&lt;&gt;""),"Verified","Unverified")</f>
        <v/>
      </c>
      <c r="M57" s="7" t="str"/>
      <c r="N57" s="12" t="str"/>
      <c r="O57" s="7" t="str"/>
    </row>
    <row r="58" ht="95" customHeight="1">
      <c r="A58" s="4" t="inlineStr">
        <is>
          <t>REQ-053</t>
        </is>
      </c>
      <c r="B58" s="4" t="inlineStr">
        <is>
          <t>Attachments</t>
        </is>
      </c>
      <c r="C58" s="4" t="inlineStr">
        <is>
          <t>If enabled, scan, cap, encrypt and version uploads; isolate object access and use short-lived signed download URLs.</t>
        </is>
      </c>
      <c r="D58" s="4" t="inlineStr">
        <is>
          <t>Directive v1.2 §5.5, 9</t>
        </is>
      </c>
      <c r="E58" s="4" t="inlineStr">
        <is>
          <t>WP14</t>
        </is>
      </c>
      <c r="F58" s="4" t="inlineStr">
        <is>
          <t>AC02 AC05</t>
        </is>
      </c>
      <c r="G58" s="4" t="inlineStr">
        <is>
          <t>TST-053</t>
        </is>
      </c>
      <c r="H58" s="4" t="inlineStr">
        <is>
          <t>Malicious or unscanned objects are quarantined; cross-tenant signing fails; old versions and export are retained.</t>
        </is>
      </c>
      <c r="I58" s="7" t="inlineStr">
        <is>
          <t>Pass</t>
        </is>
      </c>
      <c r="J58" s="7" t="inlineStr">
        <is>
          <t>evidence_attachments table, real Cloudmersive scanning (EICAR-detected), undownloadable-until-clean gate -- delivered under TRACKER.md's 'WP15' heading; see docs/wp_identifier_mapping.md</t>
        </is>
      </c>
      <c r="K58" s="7" t="str"/>
      <c r="L58" s="4">
        <f>IF(AND(I58="Pass",J58&lt;&gt;"",K58&lt;&gt;""),"Verified","Unverified")</f>
        <v/>
      </c>
      <c r="M58" s="7" t="str"/>
      <c r="N58" s="12" t="str"/>
      <c r="O58" s="7" t="str"/>
    </row>
    <row r="59" ht="95" customHeight="1">
      <c r="A59" s="4" t="inlineStr">
        <is>
          <t>REQ-054</t>
        </is>
      </c>
      <c r="B59" s="4" t="inlineStr">
        <is>
          <t>Notifications</t>
        </is>
      </c>
      <c r="C59" s="4" t="inlineStr">
        <is>
          <t>If enabled, provide grouped routine reminders, task links and completion suppression with permission-filtered content.</t>
        </is>
      </c>
      <c r="D59" s="4" t="inlineStr">
        <is>
          <t>Directive v1.2 §7.4, 9</t>
        </is>
      </c>
      <c r="E59" s="4" t="inlineStr">
        <is>
          <t>WP14</t>
        </is>
      </c>
      <c r="F59" s="4" t="inlineStr">
        <is>
          <t>AC23</t>
        </is>
      </c>
      <c r="G59" s="4" t="inlineStr">
        <is>
          <t>TST-054</t>
        </is>
      </c>
      <c r="H59" s="4" t="inlineStr">
        <is>
          <t>Completed work generates no routine reminder; revoked users receive no protected task content.</t>
        </is>
      </c>
      <c r="I59" s="7" t="inlineStr">
        <is>
          <t>Not tested</t>
        </is>
      </c>
      <c r="J59" s="7" t="inlineStr">
        <is>
          <t>Reminders feature not built</t>
        </is>
      </c>
      <c r="K59" s="7" t="str"/>
      <c r="L59" s="4">
        <f>IF(AND(I59="Pass",J59&lt;&gt;"",K59&lt;&gt;""),"Verified","Unverified")</f>
        <v/>
      </c>
      <c r="M59" s="7" t="str"/>
      <c r="N59" s="12" t="str"/>
      <c r="O59" s="7" t="str"/>
    </row>
    <row r="60" ht="95" customHeight="1">
      <c r="A60" s="4" t="inlineStr">
        <is>
          <t>REQ-055</t>
        </is>
      </c>
      <c r="B60" s="4" t="inlineStr">
        <is>
          <t>Practice</t>
        </is>
      </c>
      <c r="C60" s="4" t="inlineStr">
        <is>
          <t>If enabled, use resettable fictional practice projects isolated from live reports, decisions and exports.</t>
        </is>
      </c>
      <c r="D60" s="4" t="inlineStr">
        <is>
          <t>Directive v1.2 §7.4</t>
        </is>
      </c>
      <c r="E60" s="4" t="inlineStr">
        <is>
          <t>WP14</t>
        </is>
      </c>
      <c r="F60" s="4" t="inlineStr">
        <is>
          <t>AC23</t>
        </is>
      </c>
      <c r="G60" s="4" t="inlineStr">
        <is>
          <t>TST-055</t>
        </is>
      </c>
      <c r="H60" s="4" t="inlineStr">
        <is>
          <t>Resetting a practice project cannot affect real records and practice decisions never enter live metrics.</t>
        </is>
      </c>
      <c r="I60" s="7" t="inlineStr">
        <is>
          <t>Not tested</t>
        </is>
      </c>
      <c r="J60" s="7" t="inlineStr">
        <is>
          <t>Practice-mode feature not built</t>
        </is>
      </c>
      <c r="K60" s="7" t="str"/>
      <c r="L60" s="4">
        <f>IF(AND(I60="Pass",J60&lt;&gt;"",K60&lt;&gt;""),"Verified","Unverified")</f>
        <v/>
      </c>
      <c r="M60" s="7" t="str"/>
      <c r="N60" s="12" t="str"/>
      <c r="O60" s="7" t="str"/>
    </row>
    <row r="61" ht="95" customHeight="1">
      <c r="A61" s="4" t="inlineStr">
        <is>
          <t>REQ-056</t>
        </is>
      </c>
      <c r="B61" s="4" t="inlineStr">
        <is>
          <t>Billing</t>
        </is>
      </c>
      <c r="C61" s="4" t="inlineStr">
        <is>
          <t>Before paid signup, implement tiering, grace periods, read-only downgrade and contracted deletion policy; never store card data.</t>
        </is>
      </c>
      <c r="D61" s="4" t="inlineStr">
        <is>
          <t>Directive v1.2 §6, 8, 9</t>
        </is>
      </c>
      <c r="E61" s="4" t="inlineStr">
        <is>
          <t>WP14</t>
        </is>
      </c>
      <c r="F61" s="4" t="inlineStr">
        <is>
          <t>AC14</t>
        </is>
      </c>
      <c r="G61" s="4" t="inlineStr">
        <is>
          <t>TST-056</t>
        </is>
      </c>
      <c r="H61" s="4" t="inlineStr">
        <is>
          <t>Payment tokens only; billing failure preserves export and does not directly delete data.</t>
        </is>
      </c>
      <c r="I61" s="7" t="inlineStr">
        <is>
          <t>Not tested</t>
        </is>
      </c>
      <c r="J61" s="7" t="inlineStr">
        <is>
          <t>Billing feature not built; DEC10 (payment/tier/grace policy) still open</t>
        </is>
      </c>
      <c r="K61" s="7" t="str"/>
      <c r="L61" s="4">
        <f>IF(AND(I61="Pass",J61&lt;&gt;"",K61&lt;&gt;""),"Verified","Unverified")</f>
        <v/>
      </c>
      <c r="M61" s="7" t="str"/>
      <c r="N61" s="12" t="str"/>
      <c r="O61" s="7" t="str"/>
    </row>
    <row r="62" ht="95" customHeight="1">
      <c r="A62" s="4" t="inlineStr">
        <is>
          <t>REQ-057</t>
        </is>
      </c>
      <c r="B62" s="4" t="inlineStr">
        <is>
          <t>Governance</t>
        </is>
      </c>
      <c r="C62" s="4" t="inlineStr">
        <is>
          <t>Fund and schedule independent assurance and benefits review; Class A benefits review is interim at three months and formal at six.</t>
        </is>
      </c>
      <c r="D62" s="4" t="inlineStr">
        <is>
          <t>Directive v1.2 §3.4, 11</t>
        </is>
      </c>
      <c r="E62" s="4" t="inlineStr">
        <is>
          <t>WP02</t>
        </is>
      </c>
      <c r="F62" s="4" t="inlineStr">
        <is>
          <t>AC15</t>
        </is>
      </c>
      <c r="G62" s="4" t="inlineStr">
        <is>
          <t>TST-057</t>
        </is>
      </c>
      <c r="H62" s="4" t="inlineStr">
        <is>
          <t>Approved plan identifies assurance capacity and protected benefits-review effort without inventing allocations.</t>
        </is>
      </c>
      <c r="I62" s="7" t="inlineStr">
        <is>
          <t>Not tested</t>
        </is>
      </c>
      <c r="J62" s="7" t="inlineStr">
        <is>
          <t>docs/wp02/assurance_plan.md deliberately does not invent a budget or schedule; no Sponsor named to approve funding</t>
        </is>
      </c>
      <c r="K62" s="7" t="str"/>
      <c r="L62" s="4">
        <f>IF(AND(I62="Pass",J62&lt;&gt;"",K62&lt;&gt;""),"Verified","Unverified")</f>
        <v/>
      </c>
      <c r="M62" s="7" t="str"/>
      <c r="N62" s="12" t="str"/>
      <c r="O62" s="7" t="str"/>
    </row>
    <row r="63" ht="95" customHeight="1">
      <c r="A63" s="4" t="inlineStr">
        <is>
          <t>REQ-058</t>
        </is>
      </c>
      <c r="B63" s="4" t="inlineStr">
        <is>
          <t>Release</t>
        </is>
      </c>
      <c r="C63" s="4" t="inlineStr">
        <is>
          <t>Obtain named release authorisation, tested migration/rollback, runbooks, monitoring and operational handover before production.</t>
        </is>
      </c>
      <c r="D63" s="4" t="inlineStr">
        <is>
          <t>Directive v1.2 §11, 15</t>
        </is>
      </c>
      <c r="E63" s="4" t="inlineStr">
        <is>
          <t>WP13</t>
        </is>
      </c>
      <c r="F63" s="4" t="inlineStr">
        <is>
          <t>AC15</t>
        </is>
      </c>
      <c r="G63" s="4" t="inlineStr">
        <is>
          <t>TST-058</t>
        </is>
      </c>
      <c r="H63" s="4" t="inlineStr">
        <is>
          <t>Release checklist links to actual approver decisions and rehearsals; unmet critical evidence prevents release.</t>
        </is>
      </c>
      <c r="I63" s="7" t="inlineStr">
        <is>
          <t>Not tested</t>
        </is>
      </c>
      <c r="J63" s="7" t="inlineStr">
        <is>
          <t>No release authorisation, migration/rollback rehearsal, runbook or monitoring handover exists. Blueprint's real WP13 has not started -- see docs/wp_identifier_mapping.md.</t>
        </is>
      </c>
      <c r="K63" s="7" t="str"/>
      <c r="L63" s="4">
        <f>IF(AND(I63="Pass",J63&lt;&gt;"",K63&lt;&gt;""),"Verified","Unverified")</f>
        <v/>
      </c>
      <c r="M63" s="7" t="str"/>
      <c r="N63" s="12" t="str"/>
      <c r="O63" s="7" t="str"/>
    </row>
  </sheetData>
  <conditionalFormatting sqref="I6:I63">
    <cfRule type="containsText" priority="1" operator="containsText" dxfId="0" text="Fail"/>
  </conditionalFormatting>
  <dataValidations count="1">
    <dataValidation sqref="I6:I63" showDropDown="0" showInputMessage="0" showErrorMessage="0" allowBlank="0" type="list">
      <formula1>"Not tested,In progress,Pass,Fail,Blocked"</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2:H28"/>
  <sheetViews>
    <sheetView showGridLines="0" workbookViewId="0">
      <pane xSplit="1" ySplit="5" topLeftCell="B6" activePane="bottomRight" state="frozen"/>
      <selection activeCell="A1" sqref="A1"/>
    </sheetView>
  </sheetViews>
  <sheetFormatPr baseColWidth="8" defaultRowHeight="15"/>
  <cols>
    <col width="12" customWidth="1" min="1" max="1"/>
    <col width="85" customWidth="1" min="2" max="2"/>
    <col width="55" customWidth="1" min="3" max="3"/>
    <col width="16" customWidth="1" min="4" max="4"/>
    <col width="35" customWidth="1" min="5" max="5"/>
    <col width="24" customWidth="1" min="6" max="6"/>
    <col width="18" customWidth="1" min="7" max="7"/>
    <col width="35" customWidth="1" min="8" max="8"/>
  </cols>
  <sheetData>
    <row r="2">
      <c r="A2" s="1" t="inlineStr">
        <is>
          <t>Acceptance — Blueprint v0.2 Approved</t>
        </is>
      </c>
    </row>
    <row r="5" ht="30" customHeight="1">
      <c r="A5" s="6" t="inlineStr">
        <is>
          <t>ID</t>
        </is>
      </c>
      <c r="B5" s="6" t="inlineStr">
        <is>
          <t>Directive acceptance criterion</t>
        </is>
      </c>
      <c r="C5" s="6" t="inlineStr">
        <is>
          <t>Requirements</t>
        </is>
      </c>
      <c r="D5" s="6" t="inlineStr">
        <is>
          <t>Result</t>
        </is>
      </c>
      <c r="E5" s="6" t="inlineStr">
        <is>
          <t>Evidence reference</t>
        </is>
      </c>
      <c r="F5" s="6" t="inlineStr">
        <is>
          <t>Reviewer</t>
        </is>
      </c>
      <c r="G5" s="6" t="inlineStr">
        <is>
          <t>Verification</t>
        </is>
      </c>
      <c r="H5" s="6" t="inlineStr">
        <is>
          <t>Notes</t>
        </is>
      </c>
    </row>
    <row r="6" ht="95" customHeight="1">
      <c r="A6" s="4" t="inlineStr">
        <is>
          <t>AC01</t>
        </is>
      </c>
      <c r="B6" s="4" t="inlineStr">
        <is>
          <t>A person who has never read a governance framework registers, selects a starting template, creates a project and records a first gate decision, unaided, within twenty minutes.</t>
        </is>
      </c>
      <c r="C6" s="4" t="inlineStr">
        <is>
          <t>REQ-001 REQ-014 REQ-015 REQ-041</t>
        </is>
      </c>
      <c r="D6" s="7" t="inlineStr">
        <is>
          <t>Not tested</t>
        </is>
      </c>
      <c r="E6" s="7" t="inlineStr">
        <is>
          <t>REQ-001/014/015 pass, but REQ-041's 20-minute unaided onboarding has never been tested with a real participant</t>
        </is>
      </c>
      <c r="F6" s="7" t="str"/>
      <c r="G6" s="4">
        <f>IF(AND(D6="Pass",E6&lt;&gt;"",F6&lt;&gt;""),"Verified","Unverified")</f>
        <v/>
      </c>
      <c r="H6" s="4" t="str"/>
    </row>
    <row r="7" ht="95" customHeight="1">
      <c r="A7" s="4" t="inlineStr">
        <is>
          <t>AC02</t>
        </is>
      </c>
      <c r="B7" s="4" t="inlineStr">
        <is>
          <t>The cross-tenant isolation suite passes with zero findings, and a deliberately planted violation fails the build.</t>
        </is>
      </c>
      <c r="C7" s="4" t="inlineStr">
        <is>
          <t>REQ-001 REQ-003 REQ-007 REQ-008 REQ-009 REQ-050 REQ-053</t>
        </is>
      </c>
      <c r="D7" s="7" t="inlineStr">
        <is>
          <t>Partial</t>
        </is>
      </c>
      <c r="E7" s="7" t="inlineStr">
        <is>
          <t>Cross-tenant isolation suite passes with zero findings against real Postgres (REQ-001/003/007/008/009/053 all Pass); REQ-050 independent penetration testing has not been performed</t>
        </is>
      </c>
      <c r="F7" s="7" t="str"/>
      <c r="G7" s="4">
        <f>IF(AND(D7="Pass",E7&lt;&gt;"",F7&lt;&gt;""),"Verified","Unverified")</f>
        <v/>
      </c>
      <c r="H7" s="4" t="str"/>
    </row>
    <row r="8" ht="95" customHeight="1">
      <c r="A8" s="4" t="inlineStr">
        <is>
          <t>AC03</t>
        </is>
      </c>
      <c r="B8" s="4" t="inlineStr">
        <is>
          <t>An attempt to approve with outstanding mandatory evidence or a critical blocker is refused and logged. Conditional approval requires an allowed condition, owner, deadline and explicit activity limits; invalid or expired exceptions cannot satisfy evidence requirements.</t>
        </is>
      </c>
      <c r="C8" s="4" t="inlineStr">
        <is>
          <t>REQ-020 REQ-022</t>
        </is>
      </c>
      <c r="D8" s="7" t="inlineStr">
        <is>
          <t>Partial</t>
        </is>
      </c>
      <c r="E8" s="7" t="inlineStr">
        <is>
          <t>REQ-020 corrected to Pass 2026-09-24 (see Requirements sheet). Only REQ-022's activity-limits gap on conditional approval keeps this from a full Pass.</t>
        </is>
      </c>
      <c r="F8" s="7" t="str"/>
      <c r="G8" s="4">
        <f>IF(AND(D8="Pass",E8&lt;&gt;"",F8&lt;&gt;""),"Verified","Unverified")</f>
        <v/>
      </c>
      <c r="H8" s="4" t="str"/>
    </row>
    <row r="9" ht="95" customHeight="1">
      <c r="A9" s="4" t="inlineStr">
        <is>
          <t>AC04</t>
        </is>
      </c>
      <c r="B9" s="4" t="inlineStr">
        <is>
          <t>All application and administrative paths refuse decision edits and deletions. Superseding is demonstrated as the correction path. A seeded privileged-storage alteration is detected by independent integrity verification and approval processing is blocked for the affected scope.</t>
        </is>
      </c>
      <c r="C9" s="4" t="inlineStr">
        <is>
          <t>REQ-019 REQ-023 REQ-025 REQ-026 REQ-027</t>
        </is>
      </c>
      <c r="D9" s="7" t="inlineStr">
        <is>
          <t>Pass</t>
        </is>
      </c>
      <c r="E9" s="7" t="inlineStr">
        <is>
          <t>REQ-019/023/025/026/027 all Pass -- decision edit/delete is refused at the DB-role level, provenance preserved, integrity failures block acknowledgement</t>
        </is>
      </c>
      <c r="F9" s="7" t="str"/>
      <c r="G9" s="4">
        <f>IF(AND(D9="Pass",E9&lt;&gt;"",F9&lt;&gt;""),"Verified","Unverified")</f>
        <v/>
      </c>
      <c r="H9" s="4" t="str"/>
    </row>
    <row r="10" ht="95" customHeight="1">
      <c r="A10" s="4" t="inlineStr">
        <is>
          <t>AC05</t>
        </is>
      </c>
      <c r="B10" s="4" t="inlineStr">
        <is>
          <t>A tenant exports the complete governance record and re-imports it into a clean instance with no loss.</t>
        </is>
      </c>
      <c r="C10" s="4" t="inlineStr">
        <is>
          <t>REQ-030 REQ-031 REQ-053</t>
        </is>
      </c>
      <c r="D10" s="7" t="inlineStr">
        <is>
          <t>Pass</t>
        </is>
      </c>
      <c r="E10" s="7" t="inlineStr">
        <is>
          <t>REQ-030/031/053 all Pass -- lossless export/import with provenance, self-service export, and scanned attachments all real and tested</t>
        </is>
      </c>
      <c r="F10" s="7" t="str"/>
      <c r="G10" s="4">
        <f>IF(AND(D10="Pass",E10&lt;&gt;"",F10&lt;&gt;""),"Verified","Unverified")</f>
        <v/>
      </c>
      <c r="H10" s="4" t="str"/>
    </row>
    <row r="11" ht="95" customHeight="1">
      <c r="A11" s="4" t="inlineStr">
        <is>
          <t>AC06</t>
        </is>
      </c>
      <c r="B11" s="4" t="inlineStr">
        <is>
          <t>WCAG 2.2 AA checks pass with no open Level A or AA failure.</t>
        </is>
      </c>
      <c r="C11" s="4" t="inlineStr">
        <is>
          <t>REQ-040 REQ-050</t>
        </is>
      </c>
      <c r="D11" s="7" t="inlineStr">
        <is>
          <t>Not tested</t>
        </is>
      </c>
      <c r="E11" s="7" t="inlineStr">
        <is>
          <t>Neither REQ-040 (WCAG 2.2 AA audit) nor REQ-050 (penetration test) has been performed</t>
        </is>
      </c>
      <c r="F11" s="7" t="str"/>
      <c r="G11" s="4">
        <f>IF(AND(D11="Pass",E11&lt;&gt;"",F11&lt;&gt;""),"Verified","Unverified")</f>
        <v/>
      </c>
      <c r="H11" s="4" t="str"/>
    </row>
    <row r="12" ht="95" customHeight="1">
      <c r="A12" s="4" t="inlineStr">
        <is>
          <t>AC07</t>
        </is>
      </c>
      <c r="B12" s="4" t="inlineStr">
        <is>
          <t>Restore into a clean environment completes within eight hours and meets the ordinary-data RPO. Fault-injection tests across the approved failure envelope demonstrate no acknowledged decision loss and successful reconstruction of the associated manifests, attribution and template versions.</t>
        </is>
      </c>
      <c r="C12" s="4" t="inlineStr">
        <is>
          <t>REQ-028 REQ-029</t>
        </is>
      </c>
      <c r="D12" s="7" t="inlineStr">
        <is>
          <t>Not tested</t>
        </is>
      </c>
      <c r="E12" s="7" t="inlineStr">
        <is>
          <t>REQ-028's zero-loss-within-envelope claim is unproven (no approved envelope exists, DEC05 open); REQ-029's restore drill ran with real numbers but is explicitly local-prototype-only</t>
        </is>
      </c>
      <c r="F12" s="7" t="str"/>
      <c r="G12" s="4">
        <f>IF(AND(D12="Pass",E12&lt;&gt;"",F12&lt;&gt;""),"Verified","Unverified")</f>
        <v/>
      </c>
      <c r="H12" s="4" t="str"/>
    </row>
    <row r="13" ht="95" customHeight="1">
      <c r="A13" s="4" t="inlineStr">
        <is>
          <t>AC08</t>
        </is>
      </c>
      <c r="B13" s="4" t="inlineStr">
        <is>
          <t>A tenant authors a custom template through the guided path — without editing JSON — and runs a project through it end to end.</t>
        </is>
      </c>
      <c r="C13" s="4" t="inlineStr">
        <is>
          <t>REQ-012</t>
        </is>
      </c>
      <c r="D13" s="7" t="inlineStr">
        <is>
          <t>Partial</t>
        </is>
      </c>
      <c r="E13" s="7" t="inlineStr">
        <is>
          <t>REQ-012's guided-authoring UI (UI08) has no frontend page yet -- fork/import/blank-creation exist only as backend endpoints</t>
        </is>
      </c>
      <c r="F13" s="7" t="str"/>
      <c r="G13" s="4">
        <f>IF(AND(D13="Pass",E13&lt;&gt;"",F13&lt;&gt;""),"Verified","Unverified")</f>
        <v/>
      </c>
      <c r="H13" s="4" t="str"/>
    </row>
    <row r="14" ht="95" customHeight="1">
      <c r="A14" s="4" t="inlineStr">
        <is>
          <t>AC09</t>
        </is>
      </c>
      <c r="B14" s="4" t="inlineStr">
        <is>
          <t>Across three different frameworks, the approved rule vocabulary produces the expected applicability, authority and blocker outcomes. Unsupported rules and attempts to weaken platform invariants are rejected.</t>
        </is>
      </c>
      <c r="C14" s="4" t="inlineStr">
        <is>
          <t>REQ-010 REQ-012 REQ-013 REQ-014</t>
        </is>
      </c>
      <c r="D14" s="7" t="inlineStr">
        <is>
          <t>Partial</t>
        </is>
      </c>
      <c r="E14" s="7" t="inlineStr">
        <is>
          <t>REQ-010/013/014 pass; REQ-012's guided-authoring UI gap (same as AC08) keeps this from a full Pass</t>
        </is>
      </c>
      <c r="F14" s="7" t="str"/>
      <c r="G14" s="4">
        <f>IF(AND(D14="Pass",E14&lt;&gt;"",F14&lt;&gt;""),"Verified","Unverified")</f>
        <v/>
      </c>
      <c r="H14" s="4" t="str"/>
    </row>
    <row r="15" ht="95" customHeight="1">
      <c r="A15" s="4" t="inlineStr">
        <is>
          <t>AC10</t>
        </is>
      </c>
      <c r="B15" s="4" t="inlineStr">
        <is>
          <t>A change to evidence or authority during approval causes the stale attempt to be refused. Repeating a committed request with the same idempotency key produces one decision. Later material changes flag reassessment without rewriting history.</t>
        </is>
      </c>
      <c r="C15" s="4" t="inlineStr">
        <is>
          <t>REQ-017 REQ-019 REQ-021 REQ-023 REQ-024</t>
        </is>
      </c>
      <c r="D15" s="7" t="inlineStr">
        <is>
          <t>Pass</t>
        </is>
      </c>
      <c r="E15" s="7" t="inlineStr">
        <is>
          <t>REQ-017/019/021/023 pass; REQ-024 corrected and fixed 2026-09-25 (see Requirements sheet) -- all now Pass.</t>
        </is>
      </c>
      <c r="F15" s="7" t="str"/>
      <c r="G15" s="4">
        <f>IF(AND(D15="Pass",E15&lt;&gt;"",F15&lt;&gt;""),"Verified","Unverified")</f>
        <v/>
      </c>
      <c r="H15" s="4" t="str"/>
    </row>
    <row r="16" ht="95" customHeight="1">
      <c r="A16" s="4" t="inlineStr">
        <is>
          <t>AC11</t>
        </is>
      </c>
      <c r="B16" s="4" t="inlineStr">
        <is>
          <t>Removing a required evidence reference cannot leave an item Complete. Unapproved exclusions, expired exceptions and conditional approval without a deadline are refused; legitimate exclusions remain visible separately in the dashboard.</t>
        </is>
      </c>
      <c r="C16" s="4" t="inlineStr">
        <is>
          <t>REQ-017 REQ-018 REQ-020 REQ-021 REQ-022</t>
        </is>
      </c>
      <c r="D16" s="7" t="inlineStr">
        <is>
          <t>Partial</t>
        </is>
      </c>
      <c r="E16" s="7" t="inlineStr">
        <is>
          <t>REQ-017/018/020/021 all Pass (REQ-020 corrected 2026-09-24, see Requirements sheet). Only REQ-022's activity-limits gap keeps this from a full Pass.</t>
        </is>
      </c>
      <c r="F16" s="7" t="str"/>
      <c r="G16" s="4">
        <f>IF(AND(D16="Pass",E16&lt;&gt;"",F16&lt;&gt;""),"Verified","Unverified")</f>
        <v/>
      </c>
      <c r="H16" s="4" t="str"/>
    </row>
    <row r="17" ht="95" customHeight="1">
      <c r="A17" s="4" t="inlineStr">
        <is>
          <t>AC12</t>
        </is>
      </c>
      <c r="B17" s="4" t="inlineStr">
        <is>
          <t>Two routine and one triggered Project Gate 5 occurrences retain distinct evidence snapshots and outcomes. Superseding a decision in one occurrence preserves all other history.</t>
        </is>
      </c>
      <c r="C17" s="4" t="inlineStr">
        <is>
          <t>REQ-016 REQ-025</t>
        </is>
      </c>
      <c r="D17" s="7" t="inlineStr">
        <is>
          <t>Pass</t>
        </is>
      </c>
      <c r="E17" s="7" t="inlineStr">
        <is>
          <t>REQ-016/025 both Pass -- gate_occurrences represents each review as its own row; superseding is reason-recorded and never mutates the original</t>
        </is>
      </c>
      <c r="F17" s="7" t="str"/>
      <c r="G17" s="4">
        <f>IF(AND(D17="Pass",E17&lt;&gt;"",F17&lt;&gt;""),"Verified","Unverified")</f>
        <v/>
      </c>
      <c r="H17" s="4" t="str"/>
    </row>
    <row r="18" ht="95" customHeight="1">
      <c r="A18" s="4" t="inlineStr">
        <is>
          <t>AC13</t>
        </is>
      </c>
      <c r="B18" s="4" t="inlineStr">
        <is>
          <t>Changing a published template creates a new version and leaves existing projects unchanged. An authorised project migration records its impact, approver and before and after bindings.</t>
        </is>
      </c>
      <c r="C18" s="4" t="inlineStr">
        <is>
          <t>REQ-010 REQ-011</t>
        </is>
      </c>
      <c r="D18" s="7" t="inlineStr">
        <is>
          <t>Pass</t>
        </is>
      </c>
      <c r="E18" s="7" t="inlineStr">
        <is>
          <t>REQ-010/011 both Pass -- publishing a new version never edits a prior one, tested</t>
        </is>
      </c>
      <c r="F18" s="7" t="str"/>
      <c r="G18" s="4">
        <f>IF(AND(D18="Pass",E18&lt;&gt;"",F18&lt;&gt;""),"Verified","Unverified")</f>
        <v/>
      </c>
      <c r="H18" s="4" t="str"/>
    </row>
    <row r="19" ht="95" customHeight="1">
      <c r="A19" s="4" t="inlineStr">
        <is>
          <t>AC14</t>
        </is>
      </c>
      <c r="B19" s="4" t="inlineStr">
        <is>
          <t>MFA, role separation, project membership and visible administrator access are verified, including attempted privilege escalation through template configuration. Billing degradation, if enabled, retains read-only access and complete export.</t>
        </is>
      </c>
      <c r="C19" s="4" t="inlineStr">
        <is>
          <t>REQ-002 REQ-003 REQ-004 REQ-005 REQ-006 REQ-031 REQ-056</t>
        </is>
      </c>
      <c r="D19" s="7" t="inlineStr">
        <is>
          <t>Partial</t>
        </is>
      </c>
      <c r="E19" s="7" t="inlineStr">
        <is>
          <t>REQ-002/003/004/005/006/031 all Pass; REQ-056 (billing tiering) is not built</t>
        </is>
      </c>
      <c r="F19" s="7" t="str"/>
      <c r="G19" s="4">
        <f>IF(AND(D19="Pass",E19&lt;&gt;"",F19&lt;&gt;""),"Verified","Unverified")</f>
        <v/>
      </c>
      <c r="H19" s="4" t="str"/>
    </row>
    <row r="20" ht="95" customHeight="1">
      <c r="A20" s="4" t="inlineStr">
        <is>
          <t>AC15</t>
        </is>
      </c>
      <c r="B20" s="4" t="inlineStr">
        <is>
          <t>The requirements matrix links each mandatory directive requirement and each applicable prototype remediation to an acceptance test, evidence location, owner and reviewer. No implemented-control claim is based solely on this document.</t>
        </is>
      </c>
      <c r="C20" s="4" t="inlineStr">
        <is>
          <t>REQ-043 REQ-044 REQ-045 REQ-046 REQ-047 REQ-048 REQ-049 REQ-050 REQ-051 REQ-052 REQ-057 REQ-058</t>
        </is>
      </c>
      <c r="D20" s="7" t="inlineStr">
        <is>
          <t>Not tested</t>
        </is>
      </c>
      <c r="E20" s="7" t="inlineStr">
        <is>
          <t>The tracker mechanism itself now exists and is genuinely current (this xlsx, TRACKER.md, the pm-sdlc-tracker database), but several constituent requirements (REQ-043/044/048/050/057/058) remain Not tested, so the full matrix this criterion asks for cannot yet be called complete</t>
        </is>
      </c>
      <c r="F20" s="7" t="str"/>
      <c r="G20" s="4">
        <f>IF(AND(D20="Pass",E20&lt;&gt;"",F20&lt;&gt;""),"Verified","Unverified")</f>
        <v/>
      </c>
      <c r="H20" s="4" t="str"/>
    </row>
    <row r="21" ht="95" customHeight="1">
      <c r="A21" s="4" t="inlineStr">
        <is>
          <t>AC16</t>
        </is>
      </c>
      <c r="B21" s="4" t="inlineStr">
        <is>
          <t>My work shows only authorised assignments and gives a clear next action for contributors, approvers and administrators.</t>
        </is>
      </c>
      <c r="C21" s="4" t="inlineStr">
        <is>
          <t>REQ-004 REQ-032</t>
        </is>
      </c>
      <c r="D21" s="7" t="inlineStr">
        <is>
          <t>Pass</t>
        </is>
      </c>
      <c r="E21" s="7" t="inlineStr">
        <is>
          <t>REQ-004/032 both Pass -- My work shows only authorised assignments via real role/membership checks</t>
        </is>
      </c>
      <c r="F21" s="7" t="str"/>
      <c r="G21" s="4">
        <f>IF(AND(D21="Pass",E21&lt;&gt;"",F21&lt;&gt;""),"Verified","Unverified")</f>
        <v/>
      </c>
      <c r="H21" s="4" t="str"/>
    </row>
    <row r="22" ht="95" customHeight="1">
      <c r="A22" s="4" t="inlineStr">
        <is>
          <t>AC17</t>
        </is>
      </c>
      <c r="B22" s="4" t="inlineStr">
        <is>
          <t>Users complete guided forms, return to earlier steps and resolve validation errors without losing valid entries. Advanced settings do not obstruct essential tasks.</t>
        </is>
      </c>
      <c r="C22" s="4" t="inlineStr">
        <is>
          <t>REQ-033</t>
        </is>
      </c>
      <c r="D22" s="7" t="inlineStr">
        <is>
          <t>Pass</t>
        </is>
      </c>
      <c r="E22" s="7" t="inlineStr">
        <is>
          <t>REQ-033 Pass -- guided forms with real back-navigation links, grep-confirmed</t>
        </is>
      </c>
      <c r="F22" s="7" t="str"/>
      <c r="G22" s="4">
        <f>IF(AND(D22="Pass",E22&lt;&gt;"",F22&lt;&gt;""),"Verified","Unverified")</f>
        <v/>
      </c>
      <c r="H22" s="4" t="str"/>
    </row>
    <row r="23" ht="95" customHeight="1">
      <c r="A23" s="4" t="inlineStr">
        <is>
          <t>AC18</t>
        </is>
      </c>
      <c r="B23" s="4" t="inlineStr">
        <is>
          <t>Under the declared storage policy, interruption and reconnection tests preserve saved drafts, correctly distinguish unsaved input and avoid duplicate decisions. Pending approvals never appear confirmed.</t>
        </is>
      </c>
      <c r="C23" s="4" t="inlineStr">
        <is>
          <t>REQ-034 REQ-035</t>
        </is>
      </c>
      <c r="D23" s="7" t="inlineStr">
        <is>
          <t>Pass</t>
        </is>
      </c>
      <c r="E23" s="7" t="inlineStr">
        <is>
          <t>REQ-034 (save/resume) Pass; REQ-035 (pending/confirmed recovery) fixed 2026-09-25, closing IPA03 -- both now Pass.</t>
        </is>
      </c>
      <c r="F23" s="7" t="str"/>
      <c r="G23" s="4">
        <f>IF(AND(D23="Pass",E23&lt;&gt;"",F23&lt;&gt;""),"Verified","Unverified")</f>
        <v/>
      </c>
      <c r="H23" s="4" t="str"/>
    </row>
    <row r="24" ht="95" customHeight="1">
      <c r="A24" s="4" t="inlineStr">
        <is>
          <t>AC19</t>
        </is>
      </c>
      <c r="B24" s="4" t="inlineStr">
        <is>
          <t>Users identify a blocker and reach its corrective action without searching separate documentation; assistance and task failures are measured by user group.</t>
        </is>
      </c>
      <c r="C24" s="4" t="inlineStr">
        <is>
          <t>REQ-036</t>
        </is>
      </c>
      <c r="D24" s="7" t="inlineStr">
        <is>
          <t>Pass</t>
        </is>
      </c>
      <c r="E24" s="7" t="inlineStr">
        <is>
          <t>REQ-036 Pass -- blockers explain themselves in plain language with a corrective-action link</t>
        </is>
      </c>
      <c r="F24" s="7" t="str"/>
      <c r="G24" s="4">
        <f>IF(AND(D24="Pass",E24&lt;&gt;"",F24&lt;&gt;""),"Verified","Unverified")</f>
        <v/>
      </c>
      <c r="H24" s="4" t="str"/>
    </row>
    <row r="25" ht="95" customHeight="1">
      <c r="A25" s="4" t="inlineStr">
        <is>
          <t>AC20</t>
        </is>
      </c>
      <c r="B25" s="4" t="inlineStr">
        <is>
          <t>Approvers correctly explain the permitted next activity from the approval summary. Submission is deliberate and bound to the reviewed evidence; critical misunderstanding blocks release.</t>
        </is>
      </c>
      <c r="C25" s="4" t="inlineStr">
        <is>
          <t>REQ-037 REQ-042</t>
        </is>
      </c>
      <c r="D25" s="7" t="inlineStr">
        <is>
          <t>Partial</t>
        </is>
      </c>
      <c r="E25" s="7" t="inlineStr">
        <is>
          <t>REQ-037 (permitted-progression display) Pass; REQ-042 (critical-misunderstanding blocking) not built -- Blueprint's real WP11 has not started</t>
        </is>
      </c>
      <c r="F25" s="7" t="str"/>
      <c r="G25" s="4">
        <f>IF(AND(D25="Pass",E25&lt;&gt;"",F25&lt;&gt;""),"Verified","Unverified")</f>
        <v/>
      </c>
      <c r="H25" s="4" t="str"/>
    </row>
    <row r="26" ht="95" customHeight="1">
      <c r="A26" s="4" t="inlineStr">
        <is>
          <t>AC21</t>
        </is>
      </c>
      <c r="B26" s="4" t="inlineStr">
        <is>
          <t>Invited users reach the intended authorised project, understand their role, and complete accessible MFA setup and recovery without a control bypass.</t>
        </is>
      </c>
      <c r="C26" s="4" t="inlineStr">
        <is>
          <t>REQ-001 REQ-002 REQ-038</t>
        </is>
      </c>
      <c r="D26" s="7" t="inlineStr">
        <is>
          <t>Pass</t>
        </is>
      </c>
      <c r="E26" s="7" t="inlineStr">
        <is>
          <t>REQ-001/002 Pass; REQ-038's invitation-landing page built 2026-09-25 -- all now Pass.</t>
        </is>
      </c>
      <c r="F26" s="7" t="str"/>
      <c r="G26" s="4">
        <f>IF(AND(D26="Pass",E26&lt;&gt;"",F26&lt;&gt;""),"Verified","Unverified")</f>
        <v/>
      </c>
      <c r="H26" s="4" t="str"/>
    </row>
    <row r="27" ht="95" customHeight="1">
      <c r="A27" s="4" t="inlineStr">
        <is>
          <t>AC22</t>
        </is>
      </c>
      <c r="B27" s="4" t="inlineStr">
        <is>
          <t>The baselined usability protocol meets the agreed completion threshold in each tested group and reports sample sizes and task outcomes. Essential journeys also work with keyboard, screen reader and the agreed older-phone and constrained-connection profiles.</t>
        </is>
      </c>
      <c r="C27" s="4" t="inlineStr">
        <is>
          <t>REQ-040 REQ-041</t>
        </is>
      </c>
      <c r="D27" s="7" t="inlineStr">
        <is>
          <t>Not tested</t>
        </is>
      </c>
      <c r="E27" s="7" t="inlineStr">
        <is>
          <t>Neither REQ-040 (WCAG audit) nor REQ-041 (onboarding-time testing) has been performed -- Blueprint's real WP11 has not started</t>
        </is>
      </c>
      <c r="F27" s="7" t="str"/>
      <c r="G27" s="4">
        <f>IF(AND(D27="Pass",E27&lt;&gt;"",F27&lt;&gt;""),"Verified","Unverified")</f>
        <v/>
      </c>
      <c r="H27" s="4" t="str"/>
    </row>
    <row r="28" ht="95" customHeight="1">
      <c r="A28" s="4" t="inlineStr">
        <is>
          <t>AC23</t>
        </is>
      </c>
      <c r="B28" s="4" t="inlineStr">
        <is>
          <t>Deadlines and decision times are unambiguous across the tested time zones. If practice projects or reminders are delivered, practice decisions stay out of live reports and completed tasks stop generating routine reminders.</t>
        </is>
      </c>
      <c r="C28" s="4" t="inlineStr">
        <is>
          <t>REQ-039 REQ-054 REQ-055</t>
        </is>
      </c>
      <c r="D28" s="7" t="inlineStr">
        <is>
          <t>Not tested</t>
        </is>
      </c>
      <c r="E28" s="7" t="inlineStr">
        <is>
          <t>REQ-039 (timezone/translation), REQ-054 (reminders) and REQ-055 (practice mode) are all Not tested/not built</t>
        </is>
      </c>
      <c r="F28" s="7" t="str"/>
      <c r="G28" s="4">
        <f>IF(AND(D28="Pass",E28&lt;&gt;"",F28&lt;&gt;""),"Verified","Unverified")</f>
        <v/>
      </c>
      <c r="H28" s="4" t="str"/>
    </row>
  </sheetData>
  <conditionalFormatting sqref="D6:D28">
    <cfRule type="containsText" priority="1" operator="containsText" dxfId="0" text="Fail"/>
  </conditionalFormatting>
  <dataValidations count="1">
    <dataValidation sqref="D6:D28" showDropDown="0" showInputMessage="0" showErrorMessage="0" allowBlank="0" type="list">
      <formula1>"Not tested,In progress,Pass,Fail,Blocked"</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2:L19"/>
  <sheetViews>
    <sheetView showGridLines="0" workbookViewId="0">
      <pane xSplit="1" ySplit="5" topLeftCell="B6" activePane="bottomRight" state="frozen"/>
      <selection activeCell="A1" sqref="A1"/>
    </sheetView>
  </sheetViews>
  <sheetFormatPr baseColWidth="8" defaultRowHeight="15"/>
  <cols>
    <col width="12" customWidth="1" min="1" max="1"/>
    <col width="34" customWidth="1" min="2" max="2"/>
    <col width="25" customWidth="1" min="3" max="3"/>
    <col width="30" customWidth="1" min="4" max="4"/>
    <col width="40" customWidth="1" min="5" max="5"/>
    <col width="64" customWidth="1" min="6" max="6"/>
    <col width="17" customWidth="1" min="7" max="7"/>
    <col width="24" customWidth="1" min="8" max="8"/>
    <col width="16" customWidth="1" min="9" max="9"/>
    <col width="35" customWidth="1" min="10" max="10"/>
    <col width="24" customWidth="1" min="11" max="11"/>
    <col width="16" customWidth="1" min="12" max="12"/>
  </cols>
  <sheetData>
    <row r="2">
      <c r="A2" s="1" t="inlineStr">
        <is>
          <t>Work packages — Blueprint v0.2 Approved</t>
        </is>
      </c>
    </row>
    <row r="5" ht="30" customHeight="1">
      <c r="A5" s="6" t="inlineStr">
        <is>
          <t>ID</t>
        </is>
      </c>
      <c r="B5" s="6" t="inlineStr">
        <is>
          <t>Work package</t>
        </is>
      </c>
      <c r="C5" s="6" t="inlineStr">
        <is>
          <t>Dependencies</t>
        </is>
      </c>
      <c r="D5" s="6" t="inlineStr">
        <is>
          <t>Responsible role</t>
        </is>
      </c>
      <c r="E5" s="6" t="inlineStr">
        <is>
          <t>Review point</t>
        </is>
      </c>
      <c r="F5" s="6" t="inlineStr">
        <is>
          <t>Deliverable</t>
        </is>
      </c>
      <c r="G5" s="6" t="inlineStr">
        <is>
          <t>Status</t>
        </is>
      </c>
      <c r="H5" s="6" t="inlineStr">
        <is>
          <t>Assigned person</t>
        </is>
      </c>
      <c r="I5" s="6" t="inlineStr">
        <is>
          <t>Due date</t>
        </is>
      </c>
      <c r="J5" s="6" t="inlineStr">
        <is>
          <t>Evidence</t>
        </is>
      </c>
      <c r="K5" s="6" t="inlineStr">
        <is>
          <t>Reviewer</t>
        </is>
      </c>
      <c r="L5" s="6" t="inlineStr">
        <is>
          <t>Closure</t>
        </is>
      </c>
    </row>
    <row r="6" ht="95" customHeight="1">
      <c r="A6" s="4" t="inlineStr">
        <is>
          <t>WP01</t>
        </is>
      </c>
      <c r="B6" s="4" t="inlineStr">
        <is>
          <t>Repository and delivery controls</t>
        </is>
      </c>
      <c r="C6" s="4" t="inlineStr">
        <is>
          <t>None</t>
        </is>
      </c>
      <c r="D6" s="4" t="inlineStr">
        <is>
          <t>Delivery lead</t>
        </is>
      </c>
      <c r="E6" s="4" t="inlineStr">
        <is>
          <t>Local foundation</t>
        </is>
      </c>
      <c r="F6" s="4" t="inlineStr">
        <is>
          <t>Controlled repository, build instructions, synthetic fixtures, requirement ledger</t>
        </is>
      </c>
      <c r="G6" s="7" t="inlineStr">
        <is>
          <t>Complete</t>
        </is>
      </c>
      <c r="H6" s="7" t="inlineStr">
        <is>
          <t>Freston Kenny Adedeme</t>
        </is>
      </c>
      <c r="I6" s="12" t="str"/>
      <c r="J6" s="7" t="inlineStr">
        <is>
          <t>commit f00ddfc; backend/requirements.txt, alembic.ini, .github/workflows/ci.yml, fixtures/synthetic/</t>
        </is>
      </c>
      <c r="K6" s="7" t="str"/>
      <c r="L6" s="4">
        <f>IF(AND(G6="Complete",H6&lt;&gt;"",J6&lt;&gt;"",K6&lt;&gt;""),"Recorded complete","Open")</f>
        <v/>
      </c>
    </row>
    <row r="7" ht="95" customHeight="1">
      <c r="A7" s="4" t="inlineStr">
        <is>
          <t>WP02</t>
        </is>
      </c>
      <c r="B7" s="4" t="inlineStr">
        <is>
          <t>Discovery and assurance decisions</t>
        </is>
      </c>
      <c r="C7" s="4" t="inlineStr">
        <is>
          <t>WP01</t>
        </is>
      </c>
      <c r="D7" s="4" t="inlineStr">
        <is>
          <t>Sponsor and reviewers</t>
        </is>
      </c>
      <c r="E7" s="4" t="inlineStr">
        <is>
          <t>G1 and G2 baselines</t>
        </is>
      </c>
      <c r="F7" s="4" t="inlineStr">
        <is>
          <t>Market, roles, data inventory, assurance plan, privacy and threat reviews</t>
        </is>
      </c>
      <c r="G7" s="7" t="inlineStr">
        <is>
          <t>In progress</t>
        </is>
      </c>
      <c r="H7" s="7" t="inlineStr">
        <is>
          <t>Freston Kenny Adedeme</t>
        </is>
      </c>
      <c r="I7" s="12" t="str"/>
      <c r="J7" s="7" t="inlineStr">
        <is>
          <t>docs/wp02/ (5 documents, 2026-09-16): threat_model_and_privacy_assessment.md and data_inventory_and_classification.md are Submitted for review; assurance_plan.md and data_retention_policy.md stay In progress -- no approved Sponsor/budget exists yet to fill them in honestly.</t>
        </is>
      </c>
      <c r="K7" s="7" t="str"/>
      <c r="L7" s="4">
        <f>IF(AND(G7="Complete",H7&lt;&gt;"",J7&lt;&gt;"",K7&lt;&gt;""),"Recorded complete","Open")</f>
        <v/>
      </c>
    </row>
    <row r="8" ht="95" customHeight="1">
      <c r="A8" s="4" t="inlineStr">
        <is>
          <t>WP03</t>
        </is>
      </c>
      <c r="B8" s="4" t="inlineStr">
        <is>
          <t>Identity and membership</t>
        </is>
      </c>
      <c r="C8" s="4" t="inlineStr">
        <is>
          <t>WP01</t>
        </is>
      </c>
      <c r="D8" s="4" t="inlineStr">
        <is>
          <t>Backend lead</t>
        </is>
      </c>
      <c r="E8" s="4" t="inlineStr">
        <is>
          <t>Local prototype then G2 baseline</t>
        </is>
      </c>
      <c r="F8" s="4" t="inlineStr">
        <is>
          <t>Registration, sessions, MFA, invitations, project permissions</t>
        </is>
      </c>
      <c r="G8" s="7" t="inlineStr">
        <is>
          <t>Complete</t>
        </is>
      </c>
      <c r="H8" s="7" t="inlineStr">
        <is>
          <t>Freston Kenny Adedeme</t>
        </is>
      </c>
      <c r="I8" s="12" t="str"/>
      <c r="J8" s="7" t="inlineStr">
        <is>
          <t>commit deb3969 (2026-09-16, local prototype); MFA hardened via BGP-F01 fix (b1fb402, 2026-09-17) and BGP-F01 follow-up fix (b8bb22a, PR#3, 2026-09-19)</t>
        </is>
      </c>
      <c r="K8" s="7" t="inlineStr">
        <is>
          <t>MiltonBello15 (PR#3 MFA-hardening fix only, not the original build -- APPROVED, checked via gh pr view)</t>
        </is>
      </c>
      <c r="L8" s="4">
        <f>IF(AND(G8="Complete",H8&lt;&gt;"",J8&lt;&gt;"",K8&lt;&gt;""),"Recorded complete","Open")</f>
        <v/>
      </c>
    </row>
    <row r="9" ht="95" customHeight="1">
      <c r="A9" s="4" t="inlineStr">
        <is>
          <t>WP04</t>
        </is>
      </c>
      <c r="B9" s="4" t="inlineStr">
        <is>
          <t>Tenant isolation</t>
        </is>
      </c>
      <c r="C9" s="4" t="inlineStr">
        <is>
          <t>WP03</t>
        </is>
      </c>
      <c r="D9" s="4" t="inlineStr">
        <is>
          <t>Backend lead</t>
        </is>
      </c>
      <c r="E9" s="4" t="inlineStr">
        <is>
          <t>Local prototype then independent verification</t>
        </is>
      </c>
      <c r="F9" s="4" t="inlineStr">
        <is>
          <t>RLS migrations, restricted roles, pooled-session and worker isolation tests</t>
        </is>
      </c>
      <c r="G9" s="7" t="inlineStr">
        <is>
          <t>Complete</t>
        </is>
      </c>
      <c r="H9" s="7" t="inlineStr">
        <is>
          <t>Freston Kenny Adedeme</t>
        </is>
      </c>
      <c r="I9" s="12" t="str"/>
      <c r="J9" s="7" t="inlineStr">
        <is>
          <t>RLS migrations 0002/0014; test_tenant_isolation_rls.py adversarial cross-tenant suite (REQ-009) passing against real Postgres; org-bootstrap RLS ordering bug fixed PR#4 (ac7f0f1)</t>
        </is>
      </c>
      <c r="K9" s="7" t="inlineStr">
        <is>
          <t>MiltonBello15 (PR#4 org-bootstrap fix only -- APPROVED, checked via gh pr view)</t>
        </is>
      </c>
      <c r="L9" s="4">
        <f>IF(AND(G9="Complete",H9&lt;&gt;"",J9&lt;&gt;"",K9&lt;&gt;""),"Recorded complete","Open")</f>
        <v/>
      </c>
    </row>
    <row r="10" ht="95" customHeight="1">
      <c r="A10" s="4" t="inlineStr">
        <is>
          <t>WP05</t>
        </is>
      </c>
      <c r="B10" s="4" t="inlineStr">
        <is>
          <t>Templates and rule interpreter</t>
        </is>
      </c>
      <c r="C10" s="4" t="inlineStr">
        <is>
          <t>WP01 WP02</t>
        </is>
      </c>
      <c r="D10" s="4" t="inlineStr">
        <is>
          <t>Backend lead</t>
        </is>
      </c>
      <c r="E10" s="4" t="inlineStr">
        <is>
          <t>Local prototype then G2 baseline</t>
        </is>
      </c>
      <c r="F10" s="4" t="inlineStr">
        <is>
          <t>Three framework fixtures, rule schema, immutable publication, guided authoring contract</t>
        </is>
      </c>
      <c r="G10" s="7" t="inlineStr">
        <is>
          <t>Complete</t>
        </is>
      </c>
      <c r="H10" s="7" t="inlineStr">
        <is>
          <t>Freston Kenny Adedeme</t>
        </is>
      </c>
      <c r="I10" s="12" t="str"/>
      <c r="J10" s="7" t="inlineStr">
        <is>
          <t>commit 94b6c92 (2026-09-16); app/rule_engine.py, templates router (create/fork/import/publish), 3 synthetic framework fixtures. Guided-authoring UI (UI08) not yet built at the frontend layer -- tracked as IPA02, open.</t>
        </is>
      </c>
      <c r="K10" s="7" t="str"/>
      <c r="L10" s="4">
        <f>IF(AND(G10="Complete",H10&lt;&gt;"",J10&lt;&gt;"",K10&lt;&gt;""),"Recorded complete","Open")</f>
        <v/>
      </c>
    </row>
    <row r="11" ht="95" customHeight="1">
      <c r="A11" s="4" t="inlineStr">
        <is>
          <t>WP06</t>
        </is>
      </c>
      <c r="B11" s="4" t="inlineStr">
        <is>
          <t>Projects and evidence revisions</t>
        </is>
      </c>
      <c r="C11" s="4" t="inlineStr">
        <is>
          <t>WP04 WP05</t>
        </is>
      </c>
      <c r="D11" s="4" t="inlineStr">
        <is>
          <t>Backend lead</t>
        </is>
      </c>
      <c r="E11" s="4" t="inlineStr">
        <is>
          <t>After design review</t>
        </is>
      </c>
      <c r="F11" s="4" t="inlineStr">
        <is>
          <t>Atomic project seeding, evidence history, recurring occurrences</t>
        </is>
      </c>
      <c r="G11" s="7" t="inlineStr">
        <is>
          <t>Complete</t>
        </is>
      </c>
      <c r="H11" s="7" t="inlineStr">
        <is>
          <t>Freston Kenny Adedeme</t>
        </is>
      </c>
      <c r="I11" s="12" t="str"/>
      <c r="J11" s="7" t="inlineStr">
        <is>
          <t>WP06 build (2026-09-16); projects/evidence_items/evidence_revisions tables; test_seeding_failure_leaves_no_project_row proves atomicity (REQ-015)</t>
        </is>
      </c>
      <c r="K11" s="7" t="str"/>
      <c r="L11" s="4">
        <f>IF(AND(G11="Complete",H11&lt;&gt;"",J11&lt;&gt;"",K11&lt;&gt;""),"Recorded complete","Open")</f>
        <v/>
      </c>
    </row>
    <row r="12" ht="95" customHeight="1">
      <c r="A12" s="4" t="inlineStr">
        <is>
          <t>WP07</t>
        </is>
      </c>
      <c r="B12" s="4" t="inlineStr">
        <is>
          <t>Decisions and exceptions</t>
        </is>
      </c>
      <c r="C12" s="4" t="inlineStr">
        <is>
          <t>WP06 WP03</t>
        </is>
      </c>
      <c r="D12" s="4" t="inlineStr">
        <is>
          <t>Backend lead</t>
        </is>
      </c>
      <c r="E12" s="4" t="inlineStr">
        <is>
          <t>After design review</t>
        </is>
      </c>
      <c r="F12" s="4" t="inlineStr">
        <is>
          <t>Atomic revision checks, scoped exceptions, append-only decisions</t>
        </is>
      </c>
      <c r="G12" s="7" t="inlineStr">
        <is>
          <t>Complete</t>
        </is>
      </c>
      <c r="H12" s="7" t="inlineStr">
        <is>
          <t>Freston Kenny Adedeme</t>
        </is>
      </c>
      <c r="I12" s="12" t="str"/>
      <c r="J12" s="7" t="inlineStr">
        <is>
          <t>WP07 build (2026-09-16) + BGP-F02/F03 fixes (b1fb402) + follow-up fixes (b8bb22a, PR#3): decision_records SELECT+INSERT-only DB-role grant, authenticated compensating review, evidence-row and membership-row locking</t>
        </is>
      </c>
      <c r="K12" s="7" t="inlineStr">
        <is>
          <t>MiltonBello15 (PR#3 concurrency/separation-of-duties fixes only -- APPROVED, checked via gh pr view)</t>
        </is>
      </c>
      <c r="L12" s="4">
        <f>IF(AND(G12="Complete",H12&lt;&gt;"",J12&lt;&gt;"",K12&lt;&gt;""),"Recorded complete","Open")</f>
        <v/>
      </c>
    </row>
    <row r="13" ht="95" customHeight="1">
      <c r="A13" s="4" t="inlineStr">
        <is>
          <t>WP08</t>
        </is>
      </c>
      <c r="B13" s="4" t="inlineStr">
        <is>
          <t>Integrity and recovery</t>
        </is>
      </c>
      <c r="C13" s="4" t="inlineStr">
        <is>
          <t>WP07 WP02</t>
        </is>
      </c>
      <c r="D13" s="4" t="inlineStr">
        <is>
          <t>Security and operations lead</t>
        </is>
      </c>
      <c r="E13" s="4" t="inlineStr">
        <is>
          <t>After durability ADR</t>
        </is>
      </c>
      <c r="F13" s="4" t="inlineStr">
        <is>
          <t>Independent verification path, fault tests, restore drill</t>
        </is>
      </c>
      <c r="G13" s="7" t="inlineStr">
        <is>
          <t>Complete</t>
        </is>
      </c>
      <c r="H13" s="7" t="inlineStr">
        <is>
          <t>Freston Kenny Adedeme</t>
        </is>
      </c>
      <c r="I13" s="12" t="str"/>
      <c r="J13" s="7" t="inlineStr">
        <is>
          <t>WP08 build (2026-09-17); integrity_checkpoints hash chain; backend/scripts/restore_drill.py actually run against live bgp_dev (backup 1.18s / restore 4.14s / 16-table reconciliation); bgp_owner superuser bug found and fixed same session</t>
        </is>
      </c>
      <c r="K13" s="7" t="str"/>
      <c r="L13" s="4">
        <f>IF(AND(G13="Complete",H13&lt;&gt;"",J13&lt;&gt;"",K13&lt;&gt;""),"Recorded complete","Open")</f>
        <v/>
      </c>
    </row>
    <row r="14" ht="95" customHeight="1">
      <c r="A14" s="4" t="inlineStr">
        <is>
          <t>WP09</t>
        </is>
      </c>
      <c r="B14" s="4" t="inlineStr">
        <is>
          <t>Export and import</t>
        </is>
      </c>
      <c r="C14" s="4" t="inlineStr">
        <is>
          <t>WP06 WP07</t>
        </is>
      </c>
      <c r="D14" s="4" t="inlineStr">
        <is>
          <t>Backend lead</t>
        </is>
      </c>
      <c r="E14" s="4" t="inlineStr">
        <is>
          <t>After export schema review</t>
        </is>
      </c>
      <c r="F14" s="4" t="inlineStr">
        <is>
          <t>Versioned archive, permission-safe import, round-trip reconciliation</t>
        </is>
      </c>
      <c r="G14" s="7" t="inlineStr">
        <is>
          <t>Complete</t>
        </is>
      </c>
      <c r="H14" s="7" t="inlineStr">
        <is>
          <t>Freston Kenny Adedeme</t>
        </is>
      </c>
      <c r="I14" s="12" t="str"/>
      <c r="J14" s="7" t="inlineStr">
        <is>
          <t>WP09 build (2026-09-17) + BGP-F04 fix (b1fb402) + follow-up fix (b8bb22a, PR#3): source_id provenance, full revision-history export, unmatched-author/timestamp preservation on re-export. Export/import UI (UI09) not yet built -- tracked as IPA02, open.</t>
        </is>
      </c>
      <c r="K14" s="7" t="inlineStr">
        <is>
          <t>MiltonBello15 (PR#3 provenance fix only -- APPROVED, checked via gh pr view)</t>
        </is>
      </c>
      <c r="L14" s="4">
        <f>IF(AND(G14="Complete",H14&lt;&gt;"",J14&lt;&gt;"",K14&lt;&gt;""),"Recorded complete","Open")</f>
        <v/>
      </c>
    </row>
    <row r="15" ht="95" customHeight="1">
      <c r="A15" s="4" t="inlineStr">
        <is>
          <t>WP10</t>
        </is>
      </c>
      <c r="B15" s="4" t="inlineStr">
        <is>
          <t>Essential user journeys</t>
        </is>
      </c>
      <c r="C15" s="4" t="inlineStr">
        <is>
          <t>WP03 WP06 WP07</t>
        </is>
      </c>
      <c r="D15" s="4" t="inlineStr">
        <is>
          <t>Frontend lead</t>
        </is>
      </c>
      <c r="E15" s="4" t="inlineStr">
        <is>
          <t>Prototype now; integrated after dependencies</t>
        </is>
      </c>
      <c r="F15" s="4" t="inlineStr">
        <is>
          <t>My work, guided forms, saves, blockers, decision summary</t>
        </is>
      </c>
      <c r="G15" s="7" t="inlineStr">
        <is>
          <t>Complete</t>
        </is>
      </c>
      <c r="H15" s="7" t="inlineStr">
        <is>
          <t>Freston Kenny Adedeme</t>
        </is>
      </c>
      <c r="I15" s="12" t="str"/>
      <c r="J15" s="7" t="inlineStr">
        <is>
          <t>Backend built 2026-09-17 (My work, guided forms, drafts, blockers, decision summary); frontend delivered under TRACKER.md's 'WP11'/'WP13' headings, 2026-09-20 -- see docs/wp_identifier_mapping.md for the real cross-reference to this WP number</t>
        </is>
      </c>
      <c r="K15" s="7" t="str"/>
      <c r="L15" s="4">
        <f>IF(AND(G15="Complete",H15&lt;&gt;"",J15&lt;&gt;"",K15&lt;&gt;""),"Recorded complete","Open")</f>
        <v/>
      </c>
    </row>
    <row r="16" ht="95" customHeight="1">
      <c r="A16" s="4" t="inlineStr">
        <is>
          <t>WP11</t>
        </is>
      </c>
      <c r="B16" s="4" t="inlineStr">
        <is>
          <t>Usability and accessibility</t>
        </is>
      </c>
      <c r="C16" s="4" t="inlineStr">
        <is>
          <t>WP10</t>
        </is>
      </c>
      <c r="D16" s="4" t="inlineStr">
        <is>
          <t>UX and QA lead</t>
        </is>
      </c>
      <c r="E16" s="4" t="inlineStr">
        <is>
          <t>Formative now; acceptance before release</t>
        </is>
      </c>
      <c r="F16" s="4" t="inlineStr">
        <is>
          <t>Participant protocol, accessible journey results, remediation evidence</t>
        </is>
      </c>
      <c r="G16" s="7" t="inlineStr">
        <is>
          <t>Not started</t>
        </is>
      </c>
      <c r="H16" s="7" t="str"/>
      <c r="I16" s="12" t="str"/>
      <c r="J16" s="7" t="inlineStr">
        <is>
          <t>No participant usability/accessibility testing protocol has been run. TRACKER.md's own 'WP11' heading is a DIFFERENT thing (frontend build, mapped to Blueprint WP10 above) -- see docs/wp_identifier_mapping.md. REQ-040/041/042 (WCAG 2.2 AA, 20-minute onboarding, no critical misunderstanding) remain unverified against real participants.</t>
        </is>
      </c>
      <c r="K16" s="7" t="str"/>
      <c r="L16" s="4">
        <f>IF(AND(G16="Complete",H16&lt;&gt;"",J16&lt;&gt;"",K16&lt;&gt;""),"Recorded complete","Open")</f>
        <v/>
      </c>
    </row>
    <row r="17" ht="95" customHeight="1">
      <c r="A17" s="4" t="inlineStr">
        <is>
          <t>WP12</t>
        </is>
      </c>
      <c r="B17" s="4" t="inlineStr">
        <is>
          <t>Operations and hardening</t>
        </is>
      </c>
      <c r="C17" s="4" t="inlineStr">
        <is>
          <t>WP04 WP08</t>
        </is>
      </c>
      <c r="D17" s="4" t="inlineStr">
        <is>
          <t>Operations lead</t>
        </is>
      </c>
      <c r="E17" s="4" t="inlineStr">
        <is>
          <t>Before external pilot</t>
        </is>
      </c>
      <c r="F17" s="4" t="inlineStr">
        <is>
          <t>Secrets, monitoring, vulnerability handling, performance and recovery readiness</t>
        </is>
      </c>
      <c r="G17" s="7" t="inlineStr">
        <is>
          <t>In progress</t>
        </is>
      </c>
      <c r="H17" s="7" t="inlineStr">
        <is>
          <t>Freston Kenny Adedeme</t>
        </is>
      </c>
      <c r="I17" s="12" t="str"/>
      <c r="J17" s="7" t="inlineStr">
        <is>
          <t>WP12 build (2026-09-17): session-key/MFA-secret encryption, pip-audit+gitleaks wired into CI (14 real vulnerabilities found and fixed same session), security_log_events table, telemetry middleware. REQ-043's numeric performance budget stays DEC08-gated; REQ-046's vuln-disclosure SLA and REQ-047's quarterly access-review are mechanisms only, not running processes yet.</t>
        </is>
      </c>
      <c r="K17" s="7" t="str"/>
      <c r="L17" s="4">
        <f>IF(AND(G17="Complete",H17&lt;&gt;"",J17&lt;&gt;"",K17&lt;&gt;""),"Recorded complete","Open")</f>
        <v/>
      </c>
    </row>
    <row r="18" ht="95" customHeight="1">
      <c r="A18" s="4" t="inlineStr">
        <is>
          <t>WP13</t>
        </is>
      </c>
      <c r="B18" s="4" t="inlineStr">
        <is>
          <t>Independent acceptance and release</t>
        </is>
      </c>
      <c r="C18" s="4" t="inlineStr">
        <is>
          <t>WP09 WP11 WP12</t>
        </is>
      </c>
      <c r="D18" s="4" t="inlineStr">
        <is>
          <t>Release authority and independent QA</t>
        </is>
      </c>
      <c r="E18" s="4" t="inlineStr">
        <is>
          <t>Project Gate 4 / Software G4</t>
        </is>
      </c>
      <c r="F18" s="4" t="inlineStr">
        <is>
          <t>Penetration test, user acceptance, release and rollback records</t>
        </is>
      </c>
      <c r="G18" s="7" t="inlineStr">
        <is>
          <t>Not started</t>
        </is>
      </c>
      <c r="H18" s="7" t="str"/>
      <c r="I18" s="12" t="str"/>
      <c r="J18" s="7" t="inlineStr">
        <is>
          <t>No penetration test, no formal user-acceptance record, no release/rollback record exists. TRACKER.md's own 'WP13' heading is a DIFFERENT thing (frontend pages, mapped to Blueprint WP10 above) -- see docs/wp_identifier_mapping.md. Tracked as IPA04 in BGP_Implementation_Plan_Alignment_Findings_v1.0.docx, explicitly release-blocking.</t>
        </is>
      </c>
      <c r="K18" s="7" t="str"/>
      <c r="L18" s="4">
        <f>IF(AND(G18="Complete",H18&lt;&gt;"",J18&lt;&gt;"",K18&lt;&gt;""),"Recorded complete","Open")</f>
        <v/>
      </c>
    </row>
    <row r="19" ht="95" customHeight="1">
      <c r="A19" s="4" t="inlineStr">
        <is>
          <t>WP14</t>
        </is>
      </c>
      <c r="B19" s="4" t="inlineStr">
        <is>
          <t>Optional and paid capabilities</t>
        </is>
      </c>
      <c r="C19" s="4" t="inlineStr">
        <is>
          <t>WP07 WP09 WP10</t>
        </is>
      </c>
      <c r="D19" s="4" t="inlineStr">
        <is>
          <t>Product and engineering leads</t>
        </is>
      </c>
      <c r="E19" s="4" t="inlineStr">
        <is>
          <t>Separate scope decision</t>
        </is>
      </c>
      <c r="F19" s="4" t="inlineStr">
        <is>
          <t>Attachments, reminders, practice and billing; no paid signup before billing acceptance</t>
        </is>
      </c>
      <c r="G19" s="7" t="inlineStr">
        <is>
          <t>In progress</t>
        </is>
      </c>
      <c r="H19" s="7" t="inlineStr">
        <is>
          <t>Freston Kenny Adedeme</t>
        </is>
      </c>
      <c r="I19" s="12" t="str"/>
      <c r="J19" s="7" t="inlineStr">
        <is>
          <t>Attachments (REQ-053) delivered under TRACKER.md's 'WP15' heading (2026-09-21): evidence_attachments table, real Cloudmersive scanning, undownloadable-until-clean gate -- see docs/wp_identifier_mapping.md. Reminders (REQ-054), practice mode (REQ-055) and billing (REQ-056) are not built.</t>
        </is>
      </c>
      <c r="K19" s="7" t="str"/>
      <c r="L19" s="4">
        <f>IF(AND(G19="Complete",H19&lt;&gt;"",J19&lt;&gt;"",K19&lt;&gt;""),"Recorded complete","Open")</f>
        <v/>
      </c>
    </row>
  </sheetData>
  <dataValidations count="1">
    <dataValidation sqref="G6:G19" showDropDown="0" showInputMessage="0" showErrorMessage="0" allowBlank="0" type="list">
      <formula1>"Not started,In progress,Ready for review,Complete,Blocked"</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2:I12"/>
  <sheetViews>
    <sheetView showGridLines="0" workbookViewId="0">
      <pane xSplit="1" ySplit="5" topLeftCell="B6" activePane="bottomRight" state="frozen"/>
      <selection activeCell="A1" sqref="A1"/>
    </sheetView>
  </sheetViews>
  <sheetFormatPr baseColWidth="8" defaultRowHeight="15"/>
  <cols>
    <col width="12" customWidth="1" min="1" max="1"/>
    <col width="45" customWidth="1" min="2" max="2"/>
    <col width="65" customWidth="1" min="3" max="3"/>
    <col width="28" customWidth="1" min="4" max="4"/>
    <col width="16" customWidth="1" min="5" max="5"/>
    <col width="35" customWidth="1" min="6" max="6"/>
    <col width="24" customWidth="1" min="7" max="7"/>
    <col width="18" customWidth="1" min="8" max="8"/>
    <col width="24" customWidth="1" min="9" max="9"/>
  </cols>
  <sheetData>
    <row r="2">
      <c r="A2" s="1" t="inlineStr">
        <is>
          <t>Remediation — Blueprint v0.2 Approved</t>
        </is>
      </c>
    </row>
    <row r="5" ht="30" customHeight="1">
      <c r="A5" s="6" t="inlineStr">
        <is>
          <t>ID</t>
        </is>
      </c>
      <c r="B5" s="6" t="inlineStr">
        <is>
          <t>Finding</t>
        </is>
      </c>
      <c r="C5" s="6" t="inlineStr">
        <is>
          <t>Requirements</t>
        </is>
      </c>
      <c r="D5" s="6" t="inlineStr">
        <is>
          <t>Packages</t>
        </is>
      </c>
      <c r="E5" s="6" t="inlineStr">
        <is>
          <t>Result</t>
        </is>
      </c>
      <c r="F5" s="6" t="inlineStr">
        <is>
          <t>Evidence reference</t>
        </is>
      </c>
      <c r="G5" s="6" t="inlineStr">
        <is>
          <t>Reviewer</t>
        </is>
      </c>
      <c r="H5" s="6" t="inlineStr">
        <is>
          <t>Verification</t>
        </is>
      </c>
      <c r="I5" s="6" t="inlineStr">
        <is>
          <t>Assigned owner</t>
        </is>
      </c>
    </row>
    <row r="6" ht="95" customHeight="1">
      <c r="A6" s="4" t="inlineStr">
        <is>
          <t>TR01</t>
        </is>
      </c>
      <c r="B6" s="4" t="inlineStr">
        <is>
          <t>Open routes and missing tenancy</t>
        </is>
      </c>
      <c r="C6" s="4" t="inlineStr">
        <is>
          <t>REQ-001 REQ-002 REQ-003 REQ-004 REQ-007 REQ-008</t>
        </is>
      </c>
      <c r="D6" s="4" t="inlineStr">
        <is>
          <t>WP03 WP04</t>
        </is>
      </c>
      <c r="E6" s="7" t="inlineStr">
        <is>
          <t>Pass</t>
        </is>
      </c>
      <c r="F6" s="7" t="inlineStr">
        <is>
          <t>WP03 (deb3969) + WP04 RLS migrations (0002, 0014); test_tenant_isolation_rls.py adversarial cross-tenant suite (REQ-009) passing against real Postgres; full suite 153/153 (2026-09-24).</t>
        </is>
      </c>
      <c r="G6" s="7" t="str"/>
      <c r="H6" s="4">
        <f>IF(AND(E6="Pass",F6&lt;&gt;"",G6&lt;&gt;""),"Verified","Unverified")</f>
        <v/>
      </c>
      <c r="I6" s="4" t="str"/>
    </row>
    <row r="7" ht="95" customHeight="1">
      <c r="A7" s="4" t="inlineStr">
        <is>
          <t>TR02</t>
        </is>
      </c>
      <c r="B7" s="4" t="inlineStr">
        <is>
          <t>Overwritten decisions and typed authority</t>
        </is>
      </c>
      <c r="C7" s="4" t="inlineStr">
        <is>
          <t>REQ-016 REQ-023 REQ-025</t>
        </is>
      </c>
      <c r="D7" s="4" t="inlineStr">
        <is>
          <t>WP06 WP07</t>
        </is>
      </c>
      <c r="E7" s="7" t="inlineStr">
        <is>
          <t>Pass</t>
        </is>
      </c>
      <c r="F7" s="7" t="inlineStr">
        <is>
          <t>WP07: decision_records is a SELECT+INSERT-only DB-role grant (not just route-level), proved by test_wp07_tenant_isolation_rls.py (UPDATE/DELETE raise permission denied); superseding endpoint never mutates the original row, always creates a new linked record.</t>
        </is>
      </c>
      <c r="G7" s="7" t="str"/>
      <c r="H7" s="4">
        <f>IF(AND(E7="Pass",F7&lt;&gt;"",G7&lt;&gt;""),"Verified","Unverified")</f>
        <v/>
      </c>
      <c r="I7" s="4" t="str"/>
    </row>
    <row r="8" ht="95" customHeight="1">
      <c r="A8" s="4" t="inlineStr">
        <is>
          <t>TR03</t>
        </is>
      </c>
      <c r="B8" s="4" t="inlineStr">
        <is>
          <t>Unverified exclusions</t>
        </is>
      </c>
      <c r="C8" s="4" t="inlineStr">
        <is>
          <t>REQ-020 REQ-021</t>
        </is>
      </c>
      <c r="D8" s="4" t="inlineStr">
        <is>
          <t>WP07</t>
        </is>
      </c>
      <c r="E8" s="7" t="inlineStr">
        <is>
          <t>Pass</t>
        </is>
      </c>
      <c r="F8" s="7" t="inlineStr">
        <is>
          <t>REQ-021 (live authority/scope/expiry re-check) and REQ-020 (typed-status-alone cannot exclude an item) are both real: see REQ-020/REQ-021 rows in the Requirements sheet for the full evidence trail, including 2 new tests added 2026-09-24 to close a genuine test-coverage gap (live-expiry-over-time, cross-item scoping) that the original TR03 pass had not verified.</t>
        </is>
      </c>
      <c r="G8" s="7" t="str"/>
      <c r="H8" s="4">
        <f>IF(AND(E8="Pass",F8&lt;&gt;"",G8&lt;&gt;""),"Verified","Unverified")</f>
        <v/>
      </c>
      <c r="I8" s="4" t="str"/>
    </row>
    <row r="9" ht="95" customHeight="1">
      <c r="A9" s="4" t="inlineStr">
        <is>
          <t>TR04</t>
        </is>
      </c>
      <c r="B9" s="4" t="inlineStr">
        <is>
          <t>Incomplete conditional approval checks</t>
        </is>
      </c>
      <c r="C9" s="4" t="inlineStr">
        <is>
          <t>REQ-022</t>
        </is>
      </c>
      <c r="D9" s="4" t="inlineStr">
        <is>
          <t>WP07</t>
        </is>
      </c>
      <c r="E9" s="7" t="inlineStr">
        <is>
          <t>Partial (activity-limits gap open)</t>
        </is>
      </c>
      <c r="F9" s="7" t="inlineStr">
        <is>
          <t>WP07 records and requires conditions before a conditional approval, but REQ-022's 'activity limits' on what a conditionally-approved project can then do are not enforced -- an open gap named in the WP07 build notes since 2026-09-16, still true 2026-09-24.</t>
        </is>
      </c>
      <c r="G9" s="7" t="str"/>
      <c r="H9" s="4">
        <f>IF(AND(E9="Pass",F9&lt;&gt;"",G9&lt;&gt;""),"Verified","Unverified")</f>
        <v/>
      </c>
      <c r="I9" s="4" t="str"/>
    </row>
    <row r="10" ht="95" customHeight="1">
      <c r="A10" s="4" t="inlineStr">
        <is>
          <t>TR05</t>
        </is>
      </c>
      <c r="B10" s="4" t="inlineStr">
        <is>
          <t>Evidence reference can be cleared</t>
        </is>
      </c>
      <c r="C10" s="4" t="inlineStr">
        <is>
          <t>REQ-018</t>
        </is>
      </c>
      <c r="D10" s="4" t="inlineStr">
        <is>
          <t>WP06</t>
        </is>
      </c>
      <c r="E10" s="7" t="inlineStr">
        <is>
          <t>Pass</t>
        </is>
      </c>
      <c r="F10" s="7" t="inlineStr">
        <is>
          <t>app/routers/projects.py's evidence-revision validation rejects status=Complete + required + no-reference (WP06, 2026-09-16) -- an evidence reference cannot be cleared while marked Complete and required.</t>
        </is>
      </c>
      <c r="G10" s="7" t="str"/>
      <c r="H10" s="4">
        <f>IF(AND(E10="Pass",F10&lt;&gt;"",G10&lt;&gt;""),"Verified","Unverified")</f>
        <v/>
      </c>
      <c r="I10" s="4" t="str"/>
    </row>
    <row r="11" ht="95" customHeight="1">
      <c r="A11" s="4" t="inlineStr">
        <is>
          <t>TR06</t>
        </is>
      </c>
      <c r="B11" s="4" t="inlineStr">
        <is>
          <t>Inconsistent HTML and Markdown controls</t>
        </is>
      </c>
      <c r="C11" s="4" t="inlineStr">
        <is>
          <t>REQ-016 REQ-022 REQ-037</t>
        </is>
      </c>
      <c r="D11" s="4" t="inlineStr">
        <is>
          <t>WP06 WP07 WP10</t>
        </is>
      </c>
      <c r="E11" s="7" t="inlineStr">
        <is>
          <t>Not tested</t>
        </is>
      </c>
      <c r="F11" s="7" t="inlineStr">
        <is>
          <t>No specific check has been made of HTML/Markdown control consistency across evidence, decision and summary displays. Not claimed fixed for lack of evidence.</t>
        </is>
      </c>
      <c r="G11" s="7" t="str"/>
      <c r="H11" s="4">
        <f>IF(AND(E11="Pass",F11&lt;&gt;"",G11&lt;&gt;""),"Verified","Unverified")</f>
        <v/>
      </c>
      <c r="I11" s="4" t="str"/>
    </row>
    <row r="12" ht="95" customHeight="1">
      <c r="A12" s="4" t="inlineStr">
        <is>
          <t>TR07</t>
        </is>
      </c>
      <c r="B12" s="4" t="inlineStr">
        <is>
          <t>Prototype database and delivery foundation</t>
        </is>
      </c>
      <c r="C12" s="4" t="inlineStr">
        <is>
          <t>REQ-007 REQ-029 REQ-049</t>
        </is>
      </c>
      <c r="D12" s="4" t="inlineStr">
        <is>
          <t>WP01 WP04 WP08</t>
        </is>
      </c>
      <c r="E12" s="7" t="inlineStr">
        <is>
          <t>Partial (foundation tested, still a single-instance prototype)</t>
        </is>
      </c>
      <c r="F12" s="7" t="inlineStr">
        <is>
          <t>WP08's restore_drill.py actually run against live bgp_dev (backup 1.18s / restore 4.14s / 16-table reconciliation, 2026-09-17); migrations 0001-0016 applied cleanly; code review is now real (BGP-HR-001, PRs 3-7). Still a single local Postgres instance, not production infrastructure -- same limitation as DEC05/IPA04, not resolved by this finding closing.</t>
        </is>
      </c>
      <c r="G12" s="7" t="str"/>
      <c r="H12" s="4">
        <f>IF(AND(E12="Pass",F12&lt;&gt;"",G12&lt;&gt;""),"Verified","Unverified")</f>
        <v/>
      </c>
      <c r="I12" s="4" t="str"/>
    </row>
  </sheetData>
  <conditionalFormatting sqref="E6:E12">
    <cfRule type="containsText" priority="1" operator="containsText" dxfId="0" text="Fail"/>
  </conditionalFormatting>
  <dataValidations count="1">
    <dataValidation sqref="E6:E12" showDropDown="0" showInputMessage="0" showErrorMessage="0" allowBlank="0" type="list">
      <formula1>"Not tested,In progress,Pass,Fail,Blocked"</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2:I17"/>
  <sheetViews>
    <sheetView showGridLines="0" workbookViewId="0">
      <pane xSplit="1" ySplit="5" topLeftCell="B6" activePane="bottomRight" state="frozen"/>
      <selection activeCell="A1" sqref="A1"/>
    </sheetView>
  </sheetViews>
  <sheetFormatPr baseColWidth="8" defaultRowHeight="15"/>
  <cols>
    <col width="12" customWidth="1" min="1" max="1"/>
    <col width="45" customWidth="1" min="2" max="2"/>
    <col width="32" customWidth="1" min="3" max="3"/>
    <col width="43" customWidth="1" min="4" max="4"/>
    <col width="68" customWidth="1" min="5" max="5"/>
    <col width="17" customWidth="1" min="6" max="6"/>
    <col width="24" customWidth="1" min="7" max="7"/>
    <col width="40" customWidth="1" min="8" max="8"/>
    <col width="16" customWidth="1" min="9" max="9"/>
  </cols>
  <sheetData>
    <row r="2">
      <c r="A2" s="1" t="inlineStr">
        <is>
          <t>Decisions — Blueprint v0.2 Approved</t>
        </is>
      </c>
    </row>
    <row r="5" ht="30" customHeight="1">
      <c r="A5" s="6" t="inlineStr">
        <is>
          <t>ID</t>
        </is>
      </c>
      <c r="B5" s="6" t="inlineStr">
        <is>
          <t>Decision needed</t>
        </is>
      </c>
      <c r="C5" s="6" t="inlineStr">
        <is>
          <t>Responsible role</t>
        </is>
      </c>
      <c r="D5" s="6" t="inlineStr">
        <is>
          <t>Needed by</t>
        </is>
      </c>
      <c r="E5" s="6" t="inlineStr">
        <is>
          <t>Current position</t>
        </is>
      </c>
      <c r="F5" s="6" t="inlineStr">
        <is>
          <t>Status</t>
        </is>
      </c>
      <c r="G5" s="6" t="inlineStr">
        <is>
          <t>Named owner</t>
        </is>
      </c>
      <c r="H5" s="6" t="inlineStr">
        <is>
          <t>Decision record</t>
        </is>
      </c>
      <c r="I5" s="6" t="inlineStr">
        <is>
          <t>Approval date</t>
        </is>
      </c>
    </row>
    <row r="6" ht="115" customHeight="1">
      <c r="A6" s="4" t="inlineStr">
        <is>
          <t>DEC01</t>
        </is>
      </c>
      <c r="B6" s="4" t="inlineStr">
        <is>
          <t>Named delivery lead and independent reviewer</t>
        </is>
      </c>
      <c r="C6" s="4" t="inlineStr">
        <is>
          <t>Sponsor</t>
        </is>
      </c>
      <c r="D6" s="4" t="inlineStr">
        <is>
          <t>Before relying on their authority</t>
        </is>
      </c>
      <c r="E6" s="4" t="inlineStr">
        <is>
          <t>Delivery lead and independent reviewer named and accepted (see Named owner). Independent reviewer has since submitted real APPROVED GitHub reviews on PR#3/#4/#5, not just accepted the appointment on paper.</t>
        </is>
      </c>
      <c r="F6" s="7" t="inlineStr">
        <is>
          <t>Decided</t>
        </is>
      </c>
      <c r="G6" s="7" t="inlineStr">
        <is>
          <t>Delivery lead: Freston Kenny Adedeme. Independent reviewer: MiltonBello15 -- an active GitHub collaborator who has since submitted real APPROVED reviews on PR#3, PR#4 and PR#5, checked via gh pr view, not just named on paper.</t>
        </is>
      </c>
      <c r="H6" s="7" t="inlineStr">
        <is>
          <t>APR-001; Blueprint v0.2 Sections 7 and 9; user approval in conversation</t>
        </is>
      </c>
      <c r="I6" s="12" t="n">
        <v>46280</v>
      </c>
    </row>
    <row r="7" ht="115" customHeight="1">
      <c r="A7" s="4" t="inlineStr">
        <is>
          <t>DEC02</t>
        </is>
      </c>
      <c r="B7" s="4" t="inlineStr">
        <is>
          <t>Market, region and residency</t>
        </is>
      </c>
      <c r="C7" s="4" t="inlineStr">
        <is>
          <t>Sponsor and privacy reviewer</t>
        </is>
      </c>
      <c r="D7" s="4" t="inlineStr">
        <is>
          <t>Project Gate 2 / Software G1</t>
        </is>
      </c>
      <c r="E7" s="4" t="inlineStr">
        <is>
          <t>Approved initial focus on small agencies and consultancies. Geography, hosting region and residency remain to be selected.</t>
        </is>
      </c>
      <c r="F7" s="7" t="inlineStr">
        <is>
          <t>Partly decided</t>
        </is>
      </c>
      <c r="G7" s="7" t="str"/>
      <c r="H7" s="7" t="inlineStr">
        <is>
          <t>APR-001; Blueprint v0.2 Sections 7 and 9; user approval in conversation</t>
        </is>
      </c>
      <c r="I7" s="12" t="n">
        <v>46280</v>
      </c>
    </row>
    <row r="8" ht="115" customHeight="1">
      <c r="A8" s="4" t="inlineStr">
        <is>
          <t>DEC03</t>
        </is>
      </c>
      <c r="B8" s="4" t="inlineStr">
        <is>
          <t>Template and platform licensing</t>
        </is>
      </c>
      <c r="C8" s="4" t="inlineStr">
        <is>
          <t>Owner</t>
        </is>
      </c>
      <c r="D8" s="4" t="inlineStr">
        <is>
          <t>Project Gate 2 / Software G1</t>
        </is>
      </c>
      <c r="E8" s="4" t="inlineStr">
        <is>
          <t>Approved licensing-clearance requirement and neutral-starter fallback. No licence or third-party permission is granted by this approval.</t>
        </is>
      </c>
      <c r="F8" s="7" t="inlineStr">
        <is>
          <t>Partly decided</t>
        </is>
      </c>
      <c r="G8" s="7" t="str"/>
      <c r="H8" s="7" t="inlineStr">
        <is>
          <t>APR-001; Blueprint v0.2 Sections 7 and 9; user approval in conversation</t>
        </is>
      </c>
      <c r="I8" s="12" t="n">
        <v>46280</v>
      </c>
    </row>
    <row r="9" ht="115" customHeight="1">
      <c r="A9" s="4" t="inlineStr">
        <is>
          <t>DEC04</t>
        </is>
      </c>
      <c r="B9" s="4" t="inlineStr">
        <is>
          <t>Frontend and API session architecture</t>
        </is>
      </c>
      <c r="C9" s="4" t="inlineStr">
        <is>
          <t>Technical lead</t>
        </is>
      </c>
      <c r="D9" s="4" t="inlineStr">
        <is>
          <t>Project Gate 3 / Software G2</t>
        </is>
      </c>
      <c r="E9" s="4" t="inlineStr">
        <is>
          <t>Selected 2026-09-20: server-rendered FastAPI+Jinja2, same-origin, existing signed-cookie session (no SPA, no separate build step). Pinned versions tracked in backend/requirements.txt and docs/dependency_licence_inventory.md.</t>
        </is>
      </c>
      <c r="F9" s="7" t="inlineStr">
        <is>
          <t>Decided</t>
        </is>
      </c>
      <c r="G9" s="7" t="inlineStr">
        <is>
          <t>Freston Kenny Adedeme (in-session architecture decision, 2026-09-20): server-rendered FastAPI+Jinja2, same-origin, existing signed-cookie session -- no SPA, no separate build step.</t>
        </is>
      </c>
      <c r="H9" s="7" t="inlineStr">
        <is>
          <t>APR-001; Blueprint v0.2 Sections 7 and 9; user approval in conversation</t>
        </is>
      </c>
      <c r="I9" s="12" t="n">
        <v>46285</v>
      </c>
    </row>
    <row r="10" ht="115" customHeight="1">
      <c r="A10" s="4" t="inlineStr">
        <is>
          <t>DEC05</t>
        </is>
      </c>
      <c r="B10" s="4" t="inlineStr">
        <is>
          <t>Durability failure envelope and mechanism</t>
        </is>
      </c>
      <c r="C10" s="4" t="inlineStr">
        <is>
          <t>Operations and security leads</t>
        </is>
      </c>
      <c r="D10" s="4" t="inlineStr">
        <is>
          <t>Project Gate 3 / Software G2</t>
        </is>
      </c>
      <c r="E10" s="4" t="inlineStr">
        <is>
          <t>Decided 2026-09-27 (kenAddme's supplied answer, accepted by the delivery lead -- not an independent Operations/security-leads sign-off): Candidate A+ -- neither original candidate as framed, a synthesis of synchronous durable replication before acknowledgement (clean, truthful 'Recorded' response) plus an asynchronous independently-protected hash-chain anchor for tamper-evidence; Candidate B's pending-and-reconcile pattern survives only as a labelled, alerting degraded fallback when the sync replica is unavailable, never counted as a recorded decision. Failure scenarios covered: process crash, node failure, storage failure, single-zone failure (zero acknowledged-decision loss); regional failure via continuous archiving to a second region (RPO&lt;=5min, restored inside RTO). Explicitly NOT covered by durability alone: logical corruption from a code defect or an authorised-but-malicious write (detected by the hash chain, recovered by point-in-time restore, not prevented by replication), and simultaneous loss of the primary region and its archive. Integrity-verification mechanism is independent: the chain anchor writes to object-lock (WORM) storage under a credential the application database role cannot overwrite/delete; verification runs under a third, separate identity. Numeric targets: availability 99.5% monthly; RPO 0 in-region, &lt;=5min cross-region; RTO 8 hours; quarterly restore test into a clean environment; integrity verification at least daily, a chain mismatch treated as an S1 incident acknowledged within 1 hour. Acknowledgement is synchronous: the API returns success only once the decision row, audit entry and chain link are committed in one transaction and confirmed on a same-region different-zone synchronous replica. FLAGGED, NOT SETTLED BY THIS ANSWER ALONE: Candidate A+ is a synthesis not offered as an option in the original intake framing -- Operations/security leads still need to confirm what they are actually being asked to approve, since it isn't literally 'A or B.'</t>
        </is>
      </c>
      <c r="F10" s="7" t="inlineStr">
        <is>
          <t>Decided</t>
        </is>
      </c>
      <c r="G10" s="7" t="inlineStr">
        <is>
          <t>Named owner assigned 2026-09-25: kenAddme (active GitHub collaborator, real APPROVED reviews on PR#5/#6/#7, checked via gh pr view). Responsible for driving this decision to actual resolution -- this is an OWNERSHIP ASSIGNMENT ONLY, not the decision itself: Candidate A vs. Candidate B, covered failure scenarios, and custody for DEC05's durability mechanism remains unspecified until kenAddme (or whoever actually holds the role: Operations and security leads) supplies it. Status/Decision record/Approval date deliberately left untouched -- do not read this cell as the decision having been made. kenAddme's substantive answer received 2026-09-25/27 (docs/blueprint/BGP_DEC_Resolution_Intake_2026-09-25_ANSWERED.md) and accepted by the delivery lead in conversation 2026-09-27 -- still not an independent Operations/security-leads sign-off. The answer document itself flags the Candidate A+ framing as needing explicit confirmation at review -- see 'Open items' in the answered doc.</t>
        </is>
      </c>
      <c r="H10" s="7" t="inlineStr">
        <is>
          <t>APR-001; Blueprint v0.2 Sections 7 and 9; user approval in conversation; docs/blueprint/BGP_DEC_Resolution_Intake_2026-09-25_ANSWERED.md (accepted 2026-09-27)</t>
        </is>
      </c>
      <c r="I10" s="12" t="n">
        <v>46292</v>
      </c>
    </row>
    <row r="11" ht="115" customHeight="1">
      <c r="A11" s="4" t="inlineStr">
        <is>
          <t>DEC06</t>
        </is>
      </c>
      <c r="B11" s="4" t="inlineStr">
        <is>
          <t>Retention, disposal and attribution</t>
        </is>
      </c>
      <c r="C11" s="4" t="inlineStr">
        <is>
          <t>Privacy reviewer and owner</t>
        </is>
      </c>
      <c r="D11" s="4" t="inlineStr">
        <is>
          <t>Before retention implementation</t>
        </is>
      </c>
      <c r="E11" s="4" t="inlineStr">
        <is>
          <t>Decided 2026-09-27 (kenAddme's supplied answer, accepted by the delivery lead -- not an independent Privacy-reviewer/owner sign-off): retention periods differ by record type as a floor tenants may lengthen but not shorten -- decisions/gate approvals/exceptions 7yrs after Gate 6; requirements/designs/acceptance/release records life-of-service+3yrs (never &lt;7yrs after Gate 6); audit events 7yrs after Gate 6 or after the event, whichever is later; attachment bytes shortest of all, default 3yrs, tenant-configurable, purgeable early while metadata/hash survive. REQ-025's permanent-record guarantee narrowed to structural fields only (actor id, timestamp, action, before/after hashes in decisions/gate_decisions/audit_events -- never mutable); redaction permitted only on named personal-data fields and attachment bytes, implemented as a chain-re-anchored redaction event (proves a redaction happened without revealing what was redacted) -- one narrow, genuine exception, not a blanket one. Actor stored as a stable pseudonymous id with the id-to-person mapping in one separately-redactable table so an erasure request doesn't break a chain. True end-of-retention disposal removes the row set and leaves a tombstone (record id, hash, disposal date, authoriser, method). Legal hold: placed by the tenant's named records custodian/data owner or the project sponsor (platform operator only on written legal instruction, tenant notified it exists); overrides all scheduled disposal/shortening/purge but not a legally compelled erasure request (routed to legal advice instead). Mandatory hold fields: scope/reason/owner/placed date/release condition; release needs the same role and its own record. Other specifics: deleted users keep attribution via stable id + display-name snapshot; exports pseudonymous by default; disposal effective in live data within 24h, in backups within the backup retention window (no false instant-deletion claim).</t>
        </is>
      </c>
      <c r="F11" s="7" t="inlineStr">
        <is>
          <t>Decided</t>
        </is>
      </c>
      <c r="G11" s="7" t="inlineStr">
        <is>
          <t>Named owner assigned 2026-09-25: kenAddme (active GitHub collaborator, real APPROVED reviews on PR#5/#6/#7, checked via gh pr view). Responsible for driving this decision to actual resolution -- this is an OWNERSHIP ASSIGNMENT ONLY, not the decision itself: actual retention periods and the permanent-record conflict for DEC06 remains unspecified until kenAddme (or whoever actually holds the role: Privacy reviewer and owner) supplies it. Status/Decision record/Approval date deliberately left untouched -- do not read this cell as the decision having been made. kenAddme's substantive answer received 2026-09-25/27 (docs/blueprint/BGP_DEC_Resolution_Intake_2026-09-25_ANSWERED.md) and accepted by the delivery lead in conversation 2026-09-27 -- still not an independent Privacy-reviewer/owner sign-off.</t>
        </is>
      </c>
      <c r="H11" s="7" t="inlineStr">
        <is>
          <t>APR-001; Blueprint v0.2 Sections 7 and 9; user approval in conversation; docs/blueprint/BGP_DEC_Resolution_Intake_2026-09-25_ANSWERED.md (accepted 2026-09-27)</t>
        </is>
      </c>
      <c r="I11" s="12" t="n">
        <v>46292</v>
      </c>
    </row>
    <row r="12" ht="115" customHeight="1">
      <c r="A12" s="4" t="inlineStr">
        <is>
          <t>DEC07</t>
        </is>
      </c>
      <c r="B12" s="4" t="inlineStr">
        <is>
          <t>Rule vocabulary and three frameworks</t>
        </is>
      </c>
      <c r="C12" s="4" t="inlineStr">
        <is>
          <t>Technical lead</t>
        </is>
      </c>
      <c r="D12" s="4" t="inlineStr">
        <is>
          <t>Before guided authoring implementation</t>
        </is>
      </c>
      <c r="E12" s="4" t="inlineStr">
        <is>
          <t>Decided 2026-09-27 (kenAddme's supplied answer, accepted by the delivery lead -- not an independent Technical-lead sign-off): current vocabulary (eq/in/all/any, depth 5, no eval/exec) approved as-is, plus additions -- not (negation), gte/lte (dates/counts), count(...) with a comparison ('at least N of these complete') -- and two tightenings: cap total condition nodes at 200 in addition to depth-5, and a hard evaluation timeout; rules are pure functions of project state plus a supplied 'as at' timestamp (no external calls, no wall-clock reads inside a rule). vocabulary_version stamped on every template version so old templates evaluate identically forever. Third permitted framework fixture: an agile Definition-of-Ready/Definition-of-Done framework with no gates at all (recurring per-increment checks, unnumbered, evaluated every sprint) -- deliberately the harder, structurally-different test; second choice if an external standard is preferred: NIST SSDF 800-218 practice groups. Scope: full parity with the other two fixtures (tracks/items/rules/roles/statuses/decisions) -- marked a validation fixture, not a shipped starter template, until it passes its own review.</t>
        </is>
      </c>
      <c r="F12" s="7" t="inlineStr">
        <is>
          <t>Decided</t>
        </is>
      </c>
      <c r="G12" s="7" t="inlineStr">
        <is>
          <t>Named owner assigned 2026-09-25: kenAddme (active GitHub collaborator, real APPROVED reviews on PR#5/#6/#7, checked via gh pr view). Responsible for driving this decision to actual resolution -- this is an OWNERSHIP ASSIGNMENT ONLY, not the decision itself: vocabulary limits and the third permitted framework for DEC07 remains unspecified until kenAddme (or whoever actually holds the role: Technical lead) supplies it. Status/Decision record/Approval date deliberately left untouched -- do not read this cell as the decision having been made. kenAddme's substantive answer received 2026-09-25/27 (docs/blueprint/BGP_DEC_Resolution_Intake_2026-09-25_ANSWERED.md) and accepted by the delivery lead in conversation 2026-09-27 -- still not an independent Technical-lead sign-off.</t>
        </is>
      </c>
      <c r="H12" s="7" t="inlineStr">
        <is>
          <t>APR-001; Blueprint v0.2 Sections 7 and 9; user approval in conversation; docs/blueprint/BGP_DEC_Resolution_Intake_2026-09-25_ANSWERED.md (accepted 2026-09-27)</t>
        </is>
      </c>
      <c r="I12" s="12" t="n">
        <v>46292</v>
      </c>
    </row>
    <row r="13" ht="115" customHeight="1">
      <c r="A13" s="4" t="inlineStr">
        <is>
          <t>DEC08</t>
        </is>
      </c>
      <c r="B13" s="4" t="inlineStr">
        <is>
          <t>Usability sample and performance budgets</t>
        </is>
      </c>
      <c r="C13" s="4" t="inlineStr">
        <is>
          <t>UX and technical leads</t>
        </is>
      </c>
      <c r="D13" s="4" t="inlineStr">
        <is>
          <t>G1 protocol; G2 technical budgets</t>
        </is>
      </c>
      <c r="E13" s="4" t="inlineStr">
        <is>
          <t>Decided 2026-09-27 (kenAddme's supplied answer, accepted by the delivery lead -- not an independent UX/technical-leads sign-off): sample sizes -- beginner 8, contributor 5, client approver 5, administrator 5 (23 total); disabled/assistive-technology users distributed across the four groups (&gt;=5 total) plus a dedicated expert accessibility review, not a separate fifth group; &gt;=6 participants on older/low-end devices, similarly distributed. Device/network profiles: primary budget target mid-range Android on Fast 3G (1.6Mbps/150ms RTT, the realistic Ghanaian mobile case); degraded acceptance case low-end Android (~4GB RAM, 2019-era) on Slow 3G (400kbps/400ms RTT), which must stay usable not fast; also an iPhone 2-3 generations old on 4G, desktop broadband baseline, 320px/360px viewports, 400% zoom reflow (WCAG 1.4.10). API p95 latency budgets (server time at origin): reads (gate view/dashboard) p95&lt;=300ms/p99&lt;=800ms; ordinary writes p95&lt;=500ms; decision writes p95&lt;=800ms/p99&lt;=1.5s (the allowance DEC05's synchronous replica commit needs); exports asynchronous, must begin streaming within 2s. Page/render budget: critical render path &lt;=170KB compressed; total first load &lt;=350KB, heaviest authoring screen &lt;=1MB; LCP&lt;=2.5s primary/&lt;=5s degraded; INP&lt;=200ms; CLS&lt;=0.1; no more than two blocking requests before first render -- all enforced in CI as a blocking budget check, not a dashboard someone reads occasionally.</t>
        </is>
      </c>
      <c r="F13" s="7" t="inlineStr">
        <is>
          <t>Decided</t>
        </is>
      </c>
      <c r="G13" s="7" t="inlineStr">
        <is>
          <t>Named owner assigned 2026-09-25: kenAddme (active GitHub collaborator, real APPROVED reviews on PR#5/#6/#7, checked via gh pr view). Responsible for driving this decision to actual resolution -- this is an OWNERSHIP ASSIGNMENT ONLY, not the decision itself: sample sizes, device/network profiles and numeric performance budgets for DEC08 remains unspecified until kenAddme (or whoever actually holds the role: UX and technical leads) supplies it. Status/Decision record/Approval date deliberately left untouched -- do not read this cell as the decision having been made. kenAddme's substantive answer received 2026-09-25/27 (docs/blueprint/BGP_DEC_Resolution_Intake_2026-09-25_ANSWERED.md) and accepted by the delivery lead in conversation 2026-09-27 -- still not an independent UX/technical-leads sign-off.</t>
        </is>
      </c>
      <c r="H13" s="7" t="inlineStr">
        <is>
          <t>APR-001; Blueprint v0.2 Sections 7 and 9; user approval in conversation; docs/blueprint/BGP_DEC_Resolution_Intake_2026-09-25_ANSWERED.md (accepted 2026-09-27)</t>
        </is>
      </c>
      <c r="I13" s="12" t="n">
        <v>46292</v>
      </c>
    </row>
    <row r="14" ht="115" customHeight="1">
      <c r="A14" s="4" t="inlineStr">
        <is>
          <t>DEC09</t>
        </is>
      </c>
      <c r="B14" s="4" t="inlineStr">
        <is>
          <t>Budget, capacity and delivery estimate</t>
        </is>
      </c>
      <c r="C14" s="4" t="inlineStr">
        <is>
          <t>Sponsor</t>
        </is>
      </c>
      <c r="D14" s="4" t="inlineStr">
        <is>
          <t>Before scope extension or external commitment</t>
        </is>
      </c>
      <c r="E14" s="4" t="inlineStr">
        <is>
          <t>Approved work-package sequence and responsibility roles. Actual staffing, funding, estimates and dates remain to be supplied; no spending commitment is created.</t>
        </is>
      </c>
      <c r="F14" s="7" t="inlineStr">
        <is>
          <t>Partly decided</t>
        </is>
      </c>
      <c r="G14" s="7" t="str"/>
      <c r="H14" s="7" t="inlineStr">
        <is>
          <t>APR-001; Blueprint v0.2 Sections 7 and 9; user approval in conversation</t>
        </is>
      </c>
      <c r="I14" s="12" t="n">
        <v>46280</v>
      </c>
    </row>
    <row r="15" ht="115" customHeight="1">
      <c r="A15" s="4" t="inlineStr">
        <is>
          <t>DEC10</t>
        </is>
      </c>
      <c r="B15" s="4" t="inlineStr">
        <is>
          <t>Payment, free-tier and grace policy</t>
        </is>
      </c>
      <c r="C15" s="4" t="inlineStr">
        <is>
          <t>Sponsor</t>
        </is>
      </c>
      <c r="D15" s="4" t="inlineStr">
        <is>
          <t>Before paid capabilities</t>
        </is>
      </c>
      <c r="E15" s="4" t="inlineStr">
        <is>
          <t>Approved payment controls and no-card-data boundary. Processor, tier limits and grace periods remain to be selected before paid use.</t>
        </is>
      </c>
      <c r="F15" s="7" t="inlineStr">
        <is>
          <t>Partly decided</t>
        </is>
      </c>
      <c r="G15" s="7" t="str"/>
      <c r="H15" s="7" t="inlineStr">
        <is>
          <t>APR-001; Blueprint v0.2 Sections 7 and 9; user approval in conversation</t>
        </is>
      </c>
      <c r="I15" s="12" t="n">
        <v>46280</v>
      </c>
    </row>
    <row r="16" ht="115" customHeight="1">
      <c r="A16" s="4" t="inlineStr">
        <is>
          <t>DEC11</t>
        </is>
      </c>
      <c r="B16" s="4" t="inlineStr">
        <is>
          <t>Operator access and key custody</t>
        </is>
      </c>
      <c r="C16" s="4" t="inlineStr">
        <is>
          <t>Security lead and owner</t>
        </is>
      </c>
      <c r="D16" s="4" t="inlineStr">
        <is>
          <t>Policy G1; mechanism G2</t>
        </is>
      </c>
      <c r="E16" s="4" t="inlineStr">
        <is>
          <t>Decided 2026-09-27 (kenAddme's supplied answer, accepted by the delivery lead -- not an independent Security-lead/owner sign-off): routine operator access is tenant metadata, aggregate health, and error traces with tenant content redacted -- never evidence, attachments, decision content or personal data. Break-glass adds, time-boxed to one incident: read specific rows for one named incident; read one attachment only where the incident concerns that specific attachment; run a scoped data-fix migration -- never editing/deleting a decision, disabling audit, exporting a whole tenant, or touching more than one tenant in a session; sessions expire in 60 minutes, bound to one tenant and one incident id, every query logged. Approval: two-person rule (requester + an approver who is not the requester, holding Security Lead or Executive/Service Owner; out of hours, named Service Owner primary / Technical Lead or on-call deputy); incident id mandatory; approval recorded before access, or (if the granting system itself is down) a recorded verbal approval with written confirmation inside 24 hours; retrospective review within 72 hours. OPEN ITEM, EXPLICITLY NOT SETTLED BY THIS ANSWER ALONE (the answer document's own words): tenant-visibility default for break-glass is recommended as tenant pre-approval by default, with a narrow life-safety/legal-compulsion carve-out (immediate access, tenant notified when the session opens) -- but this is presented as 'Security lead/owner's call to make, not a settled fact,' a genuine privacy-vs-incident-response-speed trade-off. Either way: the session appears in the tenant's own audit log (who/when/incident/scope/what was read/approver/close time), a report follows within 72 hours, no suppression window, no silent access. Key custody: three separate identities against a managed KMS/HSM -- application role (request decrypt only), key custodian (rotate/create keys, no data read), operator role (neither power). Custodian is a named person distinct from on-call with a named deputy; backup-encryption keys and the chain-anchor write credential live in a separate account from production under object-lock (even the custodian can't delete anchors inside their retention period); key deletion/rotation needs the same two-person approval as break-glass, reviewed as part of the quarterly access review.</t>
        </is>
      </c>
      <c r="F16" s="7" t="inlineStr">
        <is>
          <t>Decided</t>
        </is>
      </c>
      <c r="G16" s="7" t="inlineStr">
        <is>
          <t>Named owner assigned 2026-09-25: kenAddme (active GitHub collaborator, real APPROVED reviews on PR#5/#6/#7, checked via gh pr view). Responsible for driving this decision to actual resolution -- this is an OWNERSHIP ASSIGNMENT ONLY, not the decision itself: break-glass scope, approval path, tenant visibility and independent key custody for DEC11 remains unspecified until kenAddme (or whoever actually holds the role: Security lead and owner) supplies it. Status/Decision record/Approval date deliberately left untouched -- do not read this cell as the decision having been made. kenAddme's substantive answer received 2026-09-25/27 (docs/blueprint/BGP_DEC_Resolution_Intake_2026-09-25_ANSWERED.md) and accepted by the delivery lead in conversation 2026-09-27 -- still not an independent Security-lead/owner sign-off. The answer document itself flags DEC11 Q19's break-glass tenant-visibility default as 'Security lead/owner's call to make, not a settled fact' -- see 'Open items' in the answered doc.</t>
        </is>
      </c>
      <c r="H16" s="7" t="inlineStr">
        <is>
          <t>APR-001; Blueprint v0.2 Sections 7 and 9; user approval in conversation; docs/blueprint/BGP_DEC_Resolution_Intake_2026-09-25_ANSWERED.md (accepted 2026-09-27)</t>
        </is>
      </c>
      <c r="I16" s="12" t="n">
        <v>46292</v>
      </c>
    </row>
    <row r="17" ht="115" customHeight="1">
      <c r="A17" s="4" t="inlineStr">
        <is>
          <t>DEC12</t>
        </is>
      </c>
      <c r="B17" s="4" t="inlineStr">
        <is>
          <t>Migration of legacy tracker records</t>
        </is>
      </c>
      <c r="C17" s="4" t="inlineStr">
        <is>
          <t>Data owner</t>
        </is>
      </c>
      <c r="D17" s="4" t="inlineStr">
        <is>
          <t>Before importing real records</t>
        </is>
      </c>
      <c r="E17" s="4" t="inlineStr">
        <is>
          <t>Approved provenance-preserving migration policy; never invent missing actors or approvals. Any real-data import still requires data-owner authorisation and reconciliation evidence. REFINED 2026-09-27 (kenAddme's supplied answer, accepted by the delivery lead): KenAddme IT Links is data owner/controller for records it created for its own purposes (Freston Kenny Adedeme as named custodian) -- but where a legacy record holds client personal data processed on the client's instruction, the CLIENT is controller and KenAddme is processor for that record; classify each import per record set, not wholesale, and carve out client-owned records needing client authorisation before import. Platform-side mirror: on the platform itself the tenant is controller and the operator is processor, so KenAddme-as-tenant is data owner of its own tenant data while KenAddme-as-operator is not. Substantive authorisation/reconciliation evidence for any real import -- BEFORE: written import authorisation naming source system/record set/lawful basis/destination tenant/data classification/client consents, a source data inventory, a privacy screen confirming no Restricted data (or documented approval if there is), a dry run into non-production with the reconciliation report reviewed. DURING: a dedicated time-limited migration identity (not operator/application role), every write tagged with a batch id. AFTER: counts source-vs-destination by type with a zero-variance statement or explained variance list, a hash comparison of normalised source rows, manual field-by-field verification of the greater of 10% or 30 records by someone other than the importer, a new chain checkpoint covering the imported set, the source frozen read-only at cut-over. The requirement that matters most: every imported decision must carry its original actor and timestamp, or be imported as 'attributed: unknown, migrated' -- never assigned to whoever ran the import; every imported row flagged 'origin: migrated' permanently. Sign-off: data owner plus an independent reviewer, recorded as a change record, not a routine operation.</t>
        </is>
      </c>
      <c r="F17" s="7" t="inlineStr">
        <is>
          <t>Decided</t>
        </is>
      </c>
      <c r="G17" s="7" t="inlineStr">
        <is>
          <t>Named owner assigned 2026-09-25: kenAddme (active GitHub collaborator, real APPROVED reviews on PR#5/#6/#7, checked via gh pr view). Responsible for driving this decision to actual resolution -- this is an OWNERSHIP ASSIGNMENT ONLY, not the decision itself: the named Data owner who will actually authorise and reconcile each real import under DEC12's already-decided policy remains unspecified until kenAddme (or whoever actually holds the role: Data owner) supplies it. Status/Decision record/Approval date deliberately left untouched -- do not read this cell as the decision having been made. kenAddme's substantive answer received 2026-09-25/27 (docs/blueprint/BGP_DEC_Resolution_Intake_2026-09-25_ANSWERED.md) and accepted by the delivery lead in conversation 2026-09-27 -- still not an independent Data-owner sign-off.</t>
        </is>
      </c>
      <c r="H17" s="7" t="inlineStr">
        <is>
          <t>APR-001; Blueprint v0.2 Sections 7 and 9; user approval in conversation; docs/blueprint/BGP_DEC_Resolution_Intake_2026-09-25_ANSWERED.md (accepted 2026-09-27)</t>
        </is>
      </c>
      <c r="I17" s="12" t="n">
        <v>46292</v>
      </c>
    </row>
  </sheetData>
  <dataValidations count="1">
    <dataValidation sqref="F6:F17" showDropDown="0" showInputMessage="0" showErrorMessage="0" allowBlank="0" type="list">
      <formula1>"Open,Under review,Partly decided,Decided,Deferred"</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2026-09-24T05:56:16Z</dcterms:created>
  <dcterms:modified xsi:type="dcterms:W3CDTF">2026-09-27T14:33:26Z</dcterms:modified>
</cp:coreProperties>
</file>